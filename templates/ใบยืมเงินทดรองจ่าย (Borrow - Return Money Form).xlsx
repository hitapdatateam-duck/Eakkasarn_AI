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itapadm.sharepoint.com/sites/HITAP_SHARE/Shared Documents/HITAP CENTRAL/Finance/ใบยืมเงิน Borrow Money/"/>
    </mc:Choice>
  </mc:AlternateContent>
  <xr:revisionPtr revIDLastSave="1478" documentId="13_ncr:1_{8C6D1EC5-32CE-4108-8A05-928785A76B8E}" xr6:coauthVersionLast="47" xr6:coauthVersionMax="47" xr10:uidLastSave="{BCDCA2FA-18B6-4E95-9034-DCF570A1C45B}"/>
  <bookViews>
    <workbookView xWindow="-120" yWindow="-120" windowWidth="29040" windowHeight="15720" tabRatio="778" firstSheet="1" activeTab="1" xr2:uid="{00000000-000D-0000-FFFF-FFFF00000000}"/>
  </bookViews>
  <sheets>
    <sheet name="Instruction" sheetId="17" r:id="rId1"/>
    <sheet name="ใบยืมเงิน Borrow Money Form" sheetId="15" r:id="rId2"/>
    <sheet name="สรุปคืนเงินยืมReturn money form" sheetId="16" r:id="rId3"/>
  </sheets>
  <definedNames>
    <definedName name="_xlnm.Print_Area" localSheetId="0">Instruction!$A$1:$H$20</definedName>
    <definedName name="_xlnm.Print_Area" localSheetId="1">'ใบยืมเงิน Borrow Money Form'!$A$1:$AE$64</definedName>
    <definedName name="_xlnm.Print_Area" localSheetId="2">'สรุปคืนเงินยืมReturn money form'!$A$1:$N$44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5" i="15" l="1"/>
  <c r="H36" i="17"/>
  <c r="H37" i="17"/>
  <c r="H38" i="17"/>
  <c r="H39" i="17"/>
  <c r="H40" i="17"/>
  <c r="H41" i="17"/>
  <c r="H42" i="17"/>
  <c r="H43" i="17"/>
  <c r="H44" i="17"/>
  <c r="H45" i="17"/>
  <c r="G30" i="15"/>
  <c r="AC2" i="15"/>
  <c r="N7" i="16" l="1"/>
  <c r="P12" i="15"/>
  <c r="K44" i="16"/>
  <c r="M29" i="16"/>
  <c r="G29" i="16"/>
  <c r="H29" i="16"/>
  <c r="I29" i="16"/>
  <c r="J29" i="16"/>
  <c r="K29" i="16"/>
  <c r="L29" i="16"/>
  <c r="F29" i="16"/>
  <c r="N18" i="16"/>
  <c r="N19" i="16"/>
  <c r="N20" i="16"/>
  <c r="N21" i="16"/>
  <c r="N22" i="16"/>
  <c r="N23" i="16"/>
  <c r="N24" i="16"/>
  <c r="N25" i="16"/>
  <c r="N26" i="16"/>
  <c r="N27" i="16"/>
  <c r="N16" i="16"/>
  <c r="N17" i="16"/>
  <c r="N15" i="16"/>
  <c r="N14" i="16"/>
  <c r="T12" i="15" l="1"/>
  <c r="AD12" i="15"/>
  <c r="D10" i="16" l="1"/>
  <c r="D9" i="16"/>
  <c r="I8" i="16"/>
  <c r="F8" i="16"/>
  <c r="D8" i="16"/>
  <c r="H4" i="16"/>
  <c r="D4" i="16"/>
  <c r="D6" i="16"/>
  <c r="G5" i="16" l="1"/>
  <c r="G4" i="16"/>
  <c r="A5" i="16"/>
  <c r="A4" i="16"/>
  <c r="N28" i="16" l="1"/>
  <c r="N29" i="16" s="1"/>
  <c r="D63" i="15"/>
  <c r="K38" i="16" s="1"/>
  <c r="N31" i="16" l="1"/>
  <c r="N3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Vannaporn Ussawavaree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222"/>
            <scheme val="minor"/>
          </rPr>
          <t>ค่าตอบแทน (ก่อนหักภาษี ณ ที่จ่าย) 
สำหรับการจ่ายผู้เข้าร่วมประชุมภายนอกที่ HITAP, กรุงเทพและปริมณฑลเท่านั้น
หากเกิน 1,000 บาท หัก 3%
ยกเว้น สสส. ยอดเกิน 10,000 บาท หัก 1% 
Honorarium (exclude withholding tax)
For external meeting attendee within HITAP, BKK and vicinity only. If exceeding THB 1,000, 3% of withholding tax is applied. 
Except THF funder, 1% of the tax is applied for THB 10,000 and more.
This applies for Thai attendee and international attendee with a work permit in Thailand.</t>
        </r>
      </text>
    </comment>
    <comment ref="A4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ค่าเบี้ยเลี้ยงสำหรับการจ่ายให้ผู้ที่ทำงานนอกสถานที่ รวมถึงการลงพื้นที่ หรือประชุมที่ต่างจังหวัดหรือต่างประเทศ
For people working off-site, including data collection, meeting in other cities or countries</t>
        </r>
      </text>
    </comment>
    <comment ref="A4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ค่าบริการรถตู้ หัก ภาษีหัก ณ ที่จ่าย (3%)
ค่าเช่ารถบัส หัก ภาษี ณ ที่จ่าย (5%)
*ธุรกิจจดทะเบียนขนส่ง*
ค่าเช่ารถบัส หัก ภาษี ณ ที่จ่าย (1%) 
แล้วแต่กรณี สามารถปรึกษาทีม FIN ได้ค่ะ
3% of withholding tax for a van rental service
5% of withholding tax for a bus rental 
*Registered transportation business*
1% of withholding tax for a bus rental service
Please consult FIN for tax.
</t>
        </r>
      </text>
    </comment>
    <comment ref="A5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กรณีไม่สามารถขอ "ใบเสร็จรับเงิน/ใบกำกับภาษี" ได้ให้ผู้ยืมทำเอกสาร "ใบสำคัญรับเงิน" 
เพื่อใช้เป็นหลักฐานการจ่ายเงิน
If no tax receipt, the borrower can submit a receipt voucher instead.
</t>
        </r>
      </text>
    </comment>
    <comment ref="A5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กรณี 
มีค่าใช้จ่ายหลายอย่างพิมพ์เพิ่มได้เลยค่ะ
If there is other costs, please insert another row and add details as per the sample. If none, please remove it.</t>
        </r>
      </text>
    </comment>
    <comment ref="AE5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PI/หัวหน้าโครงการ หรือผู้ประสานงาน (สำหรับ HIU)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Vannaporn Ussawavaree</author>
  </authors>
  <commentList>
    <comment ref="M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กรณีจ่ายตั้งแต่ 1,000 บาทขึ้นไป
- จ่ายค่าตอบแทน          หัก 3%
- จ่ายค่าบริการรถตู้       หัก 3%
- จ่ายค่าจ้างทำของ        หัก 3% 
- จ่ายค่าจ้างทำเสื้อ         หัก 3%
- จ่ายค่าซื้อซอฟแวร์       หัก 3%
- จ่ายเงินรางวัล              หัก 5%
- จ่ายค่าเช่า                   หัก 5%
- จ่ายค่าโฆษณา             หัก 2%
- จ่ายค่าเบี้ยประกัน         หัก 1%
- จ่ายค่าขนส่ง                 หัก 1%</t>
        </r>
      </text>
    </comment>
    <comment ref="M13" authorId="0" shapeId="0" xr:uid="{00000000-0006-0000-0200-000002000000}">
      <text>
        <r>
          <rPr>
            <b/>
            <sz val="10"/>
            <color indexed="81"/>
            <rFont val="Arial"/>
            <family val="2"/>
          </rPr>
          <t>If the cost paid to Thai company/person  more than THB 1,000, the withholding tax rate is applied as follows:
- Honorarium: 3% 
- Van rental: 3%
- ToR/ polo shirt production: 3%
- Software (Thailand): 3%
- Award: 5%
- Rental: 5%
- Advertisement production: 2%
- Insurance: 1%
- Transportation: 1%</t>
        </r>
      </text>
    </comment>
  </commentList>
</comments>
</file>

<file path=xl/sharedStrings.xml><?xml version="1.0" encoding="utf-8"?>
<sst xmlns="http://schemas.openxmlformats.org/spreadsheetml/2006/main" count="259" uniqueCount="206">
  <si>
    <t>คำแนะนำการใช้ไฟล์ ใบยืมเงินทดรองจ่าย และสรุปคืนเงินยืม</t>
  </si>
  <si>
    <t>Guideline : Borrow – Return Money Form</t>
  </si>
  <si>
    <t>มูลนิธิเพื่อการประเมินเทคโนโลยีและนโยบายด้านสุขภาพ (HITAP)  |  ฉบับปรับปรุงวันที่ 7 กันยายน 2569 / Revised on 7 September 2026</t>
  </si>
  <si>
    <t>สัญลักษณ์สีของช่องข้อมูล / Cell colour legend</t>
  </si>
  <si>
    <t>ช่องสีฟ้า = ช่องกรอกข้อมูล  /  Blue cell = fill in your information</t>
  </si>
  <si>
    <t>ช่องสีขาว = สูตรคำนวณ ถูกล็อกไว้ ห้ามแก้ไข  /  White cell = formula, locked</t>
  </si>
  <si>
    <t xml:space="preserve">  ส่วนที่ 1 : ขั้นตอนการยืม – คืนเงินทดรองจ่าย (ภาษาไทย)</t>
  </si>
  <si>
    <t xml:space="preserve">  Section 2 : How to process Borrow – Return Money (English)</t>
  </si>
  <si>
    <t>1. การยืมเงินทดรองจ่าย</t>
  </si>
  <si>
    <t>1. Borrow money</t>
  </si>
  <si>
    <t>กรอกรายละเอียดในช่องสีฟ้า ในชีท "ใบยืมเงิน Borrow Money Form" แล้วส่งไฟล์ให้ fin@hitap.net พร้อมเอกสารแนบ ดังนี้</t>
  </si>
  <si>
    <t>Fill in the blue cells of the "Borrow Money Form" sheet and send the file to fin@hitap.net together with the following documents:</t>
  </si>
  <si>
    <t>1)</t>
  </si>
  <si>
    <t>ใบยืมเงิน</t>
  </si>
  <si>
    <t>Borrow Money Form</t>
  </si>
  <si>
    <t>2)</t>
  </si>
  <si>
    <t>วาระการประชุม (สำหรับการเดินทางไปประชุม) หรือรายละเอียดการลงพื้นที่</t>
  </si>
  <si>
    <t>Meeting agenda (for meetings) or data-collection details</t>
  </si>
  <si>
    <t>3)</t>
  </si>
  <si>
    <t>เอกสารเปรียบเทียบสายการบิน อย่างน้อย 3 สายการบิน (สำหรับการเดินทางไปต่างประเทศ)</t>
  </si>
  <si>
    <t>Flight comparison – at least 3 airlines (for international travel)</t>
  </si>
  <si>
    <t>4)</t>
  </si>
  <si>
    <t>หนังสือเชิญประชุม และรายชื่อผู้เข้าร่วมประชุม (ถ้ามี)</t>
  </si>
  <si>
    <t>Invitation letter and participant list (if any)</t>
  </si>
  <si>
    <t>5)</t>
  </si>
  <si>
    <t>อัตราแลกเปลี่ยนเงินตราจากธนาคารแห่งประเทศไทย (สำหรับค่าใช้จ่ายต่างประเทศ ถ้ามี) : www.bot.or.th</t>
  </si>
  <si>
    <t>Currency exchange rate from Bank of Thailand (for overseas expenses, if any) : www.bot.or.th</t>
  </si>
  <si>
    <t>2. การคืนเงินทดรองจ่าย</t>
  </si>
  <si>
    <t>2. Return money</t>
  </si>
  <si>
    <t>หลังดำเนินกิจกรรมเสร็จ สรุปค่าใช้จ่ายในชีท "สรุปคืนเงินยืมReturn money form" เพื่อเคลียร์เงินยืม</t>
  </si>
  <si>
    <t>After the activity, report the expenses in the "Return money form" sheet to clear the borrowed money</t>
  </si>
  <si>
    <t>ส่งหลักฐานค่าใช้จ่ายให้ครบถ้วนที่ FIN พร้อมส่งไฟล์ที่กรอกรายละเอียดคืนเงินยืมทดรองที่ fin@hitap.net</t>
  </si>
  <si>
    <t>Submit all supporting documents to FIN and send the completed Return money form file to fin@hitap.net</t>
  </si>
  <si>
    <t>กรณีไม่มีใบเสร็จรับเงิน/ใบกำกับภาษี (เต็มรูป) กรุณากรอก "ใบสำคัญรับเงิน" แทน</t>
  </si>
  <si>
    <t>If there is no receipt / full-form tax invoice, please complete a "Receipt Voucher" instead</t>
  </si>
  <si>
    <t>3. การป้องกันการแก้ไขข้อมูลในไฟล์</t>
  </si>
  <si>
    <t>3. Cell protection</t>
  </si>
  <si>
    <t>•</t>
  </si>
  <si>
    <t>กรอกข้อมูลได้เฉพาะช่องสีฟ้าเท่านั้น ช่องสีขาวเป็นสูตรคำนวณและถูกล็อกไว้</t>
  </si>
  <si>
    <t>Only the blue cells can be filled in; white cells are formulas and are locked</t>
  </si>
  <si>
    <t>ชีท "สรุปคืนเงินยืมReturn money form" : หัวตาราง A1:N10 ถูกล็อก ยกเว้น N4 (เลขที่ใบสำคัญจ่าย)</t>
  </si>
  <si>
    <t>"Return money form" sheet : header block A1:N10 is locked, except N4 (Voucher no.)</t>
  </si>
  <si>
    <t>ช่องผลรวม (SUM) และยอดคงเหลือ ถูกล็อกไว้เพื่อป้องกันสูตรเสียหาย</t>
  </si>
  <si>
    <t>The SUM and balance cells are locked to keep the formulas intact</t>
  </si>
  <si>
    <t>4. หมายเหตุ</t>
  </si>
  <si>
    <t>4. Remarks</t>
  </si>
  <si>
    <t>การประมาณการค่าใช้จ่ายและการสรุปคืนเงิน ช่วยให้ท่านทราบงบประมาณในงานที่รับผิดชอบชัดเจนขึ้น และมีข้อมูล (รายชื่อผู้เข้าร่วมประชุม/ค่าใช้จ่าย) ที่ย้อนกลับมาดูได้เอง โดยไม่ต้องขอค้นเอกสารจากฝ่ายการเงิน</t>
  </si>
  <si>
    <t>Cost estimation and the expense report let you see the budget of the work you are responsible for, and keep a record (participant list / expenses) you can review anytime without requesting documents from FIN</t>
  </si>
  <si>
    <t>ไฟล์นี้เป็น template ท่านปรับขนาดตัวอักษรหรือขนาดคอลัมน์ได้ตามความเหมาะสม แต่ขอความร่วมมือไม่แก้ไขสูตรคำนวณ</t>
  </si>
  <si>
    <t>This file is a template – you may adjust the font or column size as appropriate, but please do not change the formulas</t>
  </si>
  <si>
    <t>5. การหักภาษี ณ ที่จ่าย  (*ปรึกษาฝ่ายการเงิน)</t>
  </si>
  <si>
    <t>5. Withholding tax  (*consult FIN)</t>
  </si>
  <si>
    <t>กรณีจ่ายเงินตั้งแต่ 1,000 บาทขึ้นไป ต้องหักภาษี ณ ที่จ่าย (เฉพาะการจ่ายให้คน/หน่วยงานในประเทศไทย รวมถึงชาวต่างชาติที่มีใบอนุญาตทำงานในไทย หรืออยู่ในไทยเกิน 90 วัน)</t>
  </si>
  <si>
    <t>If a payment of THB 1,000 or more is made to a Thai person/company – including a foreigner with a Thai work permit or staying in Thailand over 90 days – withholding tax applies as follows:</t>
  </si>
  <si>
    <t>รายการจ่าย</t>
  </si>
  <si>
    <t>อัตราหักภาษี</t>
  </si>
  <si>
    <t>Type of payment</t>
  </si>
  <si>
    <t>Withholding rate</t>
  </si>
  <si>
    <t>ค่าตอบแทน</t>
  </si>
  <si>
    <t>Honorarium</t>
  </si>
  <si>
    <t>ค่าบริการรถตู้</t>
  </si>
  <si>
    <t>Van rental</t>
  </si>
  <si>
    <t>ค่าจ้างทำของ</t>
  </si>
  <si>
    <t>Contract work (ToR)</t>
  </si>
  <si>
    <t>ค่าจ้างทำเสื้อ</t>
  </si>
  <si>
    <t>Polo shirt production</t>
  </si>
  <si>
    <t>ค่าซื้อซอฟต์แวร์</t>
  </si>
  <si>
    <t>Software (Thailand)</t>
  </si>
  <si>
    <t>เงินรางวัล</t>
  </si>
  <si>
    <t>Award</t>
  </si>
  <si>
    <t>ค่าเช่าสถานที่ / เช่ารถ</t>
  </si>
  <si>
    <t>Room / car rental</t>
  </si>
  <si>
    <t>ค่าโฆษณาเว็บไซต์ (เช่น JobThai.com)</t>
  </si>
  <si>
    <t>Website advertising (e.g. JobThai.com)</t>
  </si>
  <si>
    <t>ค่าเบี้ยประกัน (เช่น ประกันอัคคีภัย)</t>
  </si>
  <si>
    <t>Insurance premium (e.g. fire insurance)</t>
  </si>
  <si>
    <t>ค่าขนส่ง</t>
  </si>
  <si>
    <t>Transportation</t>
  </si>
  <si>
    <t>สอบถามข้อมูลเพิ่มเติม / For further information : fin@hitap.net</t>
  </si>
  <si>
    <t>ใบเงินยืมทดรองจ่าย</t>
  </si>
  <si>
    <t>ที่ / NO.</t>
  </si>
  <si>
    <t>Request to Borrow Money Form</t>
  </si>
  <si>
    <t xml:space="preserve">วันที่ / Date  </t>
  </si>
  <si>
    <t>มูลนิธิเพื่อการประเมินเทคโนโลยีและนโยบายด้านสุขภาพ</t>
  </si>
  <si>
    <t>รบกวน save ไฟล์เพื่อนำไปใช้นะคะ</t>
  </si>
  <si>
    <t>Health Intervention and Technology Assessment Program Foundation</t>
  </si>
  <si>
    <t>รหัสโครงการ</t>
  </si>
  <si>
    <t>รหัสกิจกรรม</t>
  </si>
  <si>
    <t>Project Code</t>
  </si>
  <si>
    <t>Activity code</t>
  </si>
  <si>
    <t>กรอกข้อมูลในช่องสีฟ้าค่ะ</t>
  </si>
  <si>
    <t>โครงการ(ชื่อย่อ)</t>
  </si>
  <si>
    <t>Project Name</t>
  </si>
  <si>
    <t>วันที่</t>
  </si>
  <si>
    <t>เดือน</t>
  </si>
  <si>
    <t>พ.ศ.</t>
  </si>
  <si>
    <t>Date</t>
  </si>
  <si>
    <t>Month</t>
  </si>
  <si>
    <t>Year</t>
  </si>
  <si>
    <t>ข้าพเจ้า</t>
  </si>
  <si>
    <t>ตำแหน่ง</t>
  </si>
  <si>
    <t>Name</t>
  </si>
  <si>
    <t>Position</t>
  </si>
  <si>
    <t>ขออนุมัติยืมเงินทดรองจ่ายเพื่อ</t>
  </si>
  <si>
    <t>วัตถุประสงค์ / หัวข้อ (ระบุ) Purpose</t>
  </si>
  <si>
    <t>ระหว่างวันที่</t>
  </si>
  <si>
    <t>ถึง</t>
  </si>
  <si>
    <t>เวลา</t>
  </si>
  <si>
    <t>Duration</t>
  </si>
  <si>
    <t>To</t>
  </si>
  <si>
    <t>Time</t>
  </si>
  <si>
    <t>สถานที่ดำเนินการ</t>
  </si>
  <si>
    <t>Location</t>
  </si>
  <si>
    <t>ต้องการรับเงินยืมในวันที่</t>
  </si>
  <si>
    <t>(ต้องส่งใบขออนุมัติยืมเงินทดรองจ่ายล่วงหน้า 5-10 วันทำการ)</t>
  </si>
  <si>
    <t>Date to Receive Money</t>
  </si>
  <si>
    <t>(request at least 5-10 days before 'Date to Receive Money')</t>
  </si>
  <si>
    <t>คืนเงินทดรองจ่ายในวันที่</t>
  </si>
  <si>
    <t>กรุณานำส่งหลักฐานการใช้จ่ายเพื่อคืนเงิน (ภายใน 10 วัน หลังสิ้นสุดกิจกรรม)</t>
  </si>
  <si>
    <t>Date to Return Money</t>
  </si>
  <si>
    <t xml:space="preserve">(return money along with financial documents within 10 days </t>
  </si>
  <si>
    <t>after completion of activitiy)</t>
  </si>
  <si>
    <t>ต้องการให้เจ้าหน้าที่การเงินช่วยจ่ายเงินในที่ประชุม Do you need a finance officer to help?</t>
  </si>
  <si>
    <t>ประมาณการค่าใช้จ่ายดังนี้:-  Cost estimation as follows:-</t>
  </si>
  <si>
    <t>รายการ</t>
  </si>
  <si>
    <t>รายละเอียด</t>
  </si>
  <si>
    <t xml:space="preserve">จำนวนเงิน </t>
  </si>
  <si>
    <t xml:space="preserve"> Item</t>
  </si>
  <si>
    <t>Description</t>
  </si>
  <si>
    <t xml:space="preserve"> Amount</t>
  </si>
  <si>
    <t>หมายเหตุ (Remark): ค่าตอบแทนจะต้องมีการหักภาษี ณ ที่จ่าย (the withohlding tax will be applied for honorarium)</t>
  </si>
  <si>
    <t>ค่าเบี้ยเลี้ยง</t>
  </si>
  <si>
    <t>Per diem</t>
  </si>
  <si>
    <t>ค่าเครื่องบิน</t>
  </si>
  <si>
    <t>Airfare</t>
  </si>
  <si>
    <t>ค่าเดินทาง</t>
  </si>
  <si>
    <t>ค่าที่พัก</t>
  </si>
  <si>
    <t>Accommodation</t>
  </si>
  <si>
    <t>ค่าอาหารและเครื่องดื่ม</t>
  </si>
  <si>
    <t>Meal and beverage</t>
  </si>
  <si>
    <t xml:space="preserve">ค่าใช้จ่ายอื่นๆ </t>
  </si>
  <si>
    <t>Others</t>
  </si>
  <si>
    <t>รวมเงินยืมทดรองจ่าย</t>
  </si>
  <si>
    <t xml:space="preserve"> Total amount borrowed</t>
  </si>
  <si>
    <t>(ลงชื่อ)</t>
  </si>
  <si>
    <t xml:space="preserve">การเงิน </t>
  </si>
  <si>
    <t>ผู้ตรวจสอบ</t>
  </si>
  <si>
    <t>(Signature)</t>
  </si>
  <si>
    <t>นางสาวศรินญา ศักดิ์ทองจีน</t>
  </si>
  <si>
    <t>Financial Officer</t>
  </si>
  <si>
    <t>สุภาพร เอี่ยมอัครเสนา</t>
  </si>
  <si>
    <t>Checked</t>
  </si>
  <si>
    <t>ผู้ยืมเงิน</t>
  </si>
  <si>
    <t>ผู้อนุมัติ</t>
  </si>
  <si>
    <t>Payee</t>
  </si>
  <si>
    <t>รศ. ดร.วรรณฤดี อิสรานุวัฒน์ชัย</t>
  </si>
  <si>
    <t>Approved</t>
  </si>
  <si>
    <t>* รบกวน ลงนามผู้ยืมเงิน ก่อนส่งไฟล์ให้ FIN</t>
  </si>
  <si>
    <t>นางสาวพรพิมล แสนสะอาด</t>
  </si>
  <si>
    <t>ดร. ภญ.ปฤษฐพร กิ่งแก้ว</t>
  </si>
  <si>
    <t>นางสาววรรณภร อัศววารี</t>
  </si>
  <si>
    <t>นพ.กติกา อรรฆศิลป์</t>
  </si>
  <si>
    <t>ดร.ธีรวัฒน์ วิวัฒน์พาณิชย์</t>
  </si>
  <si>
    <t>Saudamini Vishwanath Dabak</t>
  </si>
  <si>
    <t>Sarin K C</t>
  </si>
  <si>
    <t>ภญ.เบญจรินทร์ สันตติวงศ์ไชย</t>
  </si>
  <si>
    <t>วิลาวรรณ ล้วนคงสมจิตร</t>
  </si>
  <si>
    <t>ดร. พญ.จารวี สุขมณี</t>
  </si>
  <si>
    <t>กุมารี พัชนี</t>
  </si>
  <si>
    <t>ภญ.บุสดี โสบุญ</t>
  </si>
  <si>
    <t>มานิต สิทธิมาตร</t>
  </si>
  <si>
    <t>ภญ.ธมลวรรณ ดุลสัมพันธ์</t>
  </si>
  <si>
    <t>ดร.อาภาพร สุทธิพัฒนสมบุญ</t>
  </si>
  <si>
    <t>ดร. นพ.ยศ ตีระวัฒนานนท์</t>
  </si>
  <si>
    <t>นางสาววรัญญา รัตนวิภาพงษ์</t>
  </si>
  <si>
    <t xml:space="preserve"> สรุปคืนเงินยืมทดรองจ่าย / Return money form</t>
  </si>
  <si>
    <t>เลขที่ใบสำคัญจ่าย</t>
  </si>
  <si>
    <t>Voucher no.</t>
  </si>
  <si>
    <t xml:space="preserve">โครงการ(ชื่อย่อ) </t>
  </si>
  <si>
    <t>วันที่ / Date</t>
  </si>
  <si>
    <t>ถึง / To</t>
  </si>
  <si>
    <t>เวลา / Time</t>
  </si>
  <si>
    <t>สำหรับ / For</t>
  </si>
  <si>
    <t>สถานที่ / Place</t>
  </si>
  <si>
    <t>ลำดับ</t>
  </si>
  <si>
    <t>รายชื่อ</t>
  </si>
  <si>
    <t>ค่าอาหาร</t>
  </si>
  <si>
    <t>อื่นๆ</t>
  </si>
  <si>
    <t>หัก ภาษี ณ ที่จ่าย</t>
  </si>
  <si>
    <t>รวม</t>
  </si>
  <si>
    <t>NO.</t>
  </si>
  <si>
    <t>Name/Description</t>
  </si>
  <si>
    <t>Honorariam</t>
  </si>
  <si>
    <t>Perdiem</t>
  </si>
  <si>
    <t>Food</t>
  </si>
  <si>
    <t>Other</t>
  </si>
  <si>
    <t>Less Withhoding TAX</t>
  </si>
  <si>
    <t>Total</t>
  </si>
  <si>
    <t xml:space="preserve">รวมค่าใช้จ่ายทั้งสิ้น </t>
  </si>
  <si>
    <t xml:space="preserve"> SUB TOTAL</t>
  </si>
  <si>
    <t>หมายเหตุ</t>
  </si>
  <si>
    <t>เงินยืมทดรองจ่าย</t>
  </si>
  <si>
    <t xml:space="preserve"> Note :-</t>
  </si>
  <si>
    <t xml:space="preserve"> Amount of money borrowed</t>
  </si>
  <si>
    <r>
      <t>คงเหลือเงินคืน /</t>
    </r>
    <r>
      <rPr>
        <b/>
        <sz val="14"/>
        <color rgb="FFFF0000"/>
        <rFont val="TH SarabunPSK"/>
        <family val="2"/>
      </rPr>
      <t xml:space="preserve"> (เบิกเพิ่ม)</t>
    </r>
  </si>
  <si>
    <t xml:space="preserve">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</si>
</sst>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dd\ /\ mmmm\ /\ yyyy"/>
    <numFmt numFmtId="188" formatCode="[$-409]dd\ \ mmmm\ \ \ yyyy;@"/>
    <numFmt numFmtId="189" formatCode="[$-107041E]dd\ \ mmmm\ \ yyyy;@\ "/>
    <numFmt numFmtId="190" formatCode="[$-409]d\-mmm\-yyyy;@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sz val="24"/>
      <color theme="1"/>
      <name val="TH SarabunPSK"/>
      <family val="2"/>
    </font>
    <font>
      <b/>
      <sz val="9"/>
      <color indexed="81"/>
      <name val="Tahoma"/>
      <family val="2"/>
    </font>
    <font>
      <b/>
      <sz val="10"/>
      <color indexed="81"/>
      <name val="Arial"/>
      <family val="2"/>
    </font>
    <font>
      <sz val="14"/>
      <color theme="1"/>
      <name val="TH SarabunPSK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4"/>
      <color rgb="FF0000FF"/>
      <name val="TH SarabunPSK"/>
      <family val="2"/>
    </font>
    <font>
      <b/>
      <sz val="14"/>
      <name val="TH SarabunPSK"/>
      <family val="2"/>
    </font>
    <font>
      <b/>
      <sz val="14"/>
      <color rgb="FFFF0000"/>
      <name val="TH SarabunPSK"/>
      <family val="2"/>
    </font>
    <font>
      <sz val="14"/>
      <color rgb="FF0000FF"/>
      <name val="TH SarabunPSK"/>
      <family val="2"/>
    </font>
    <font>
      <i/>
      <sz val="14"/>
      <color theme="1"/>
      <name val="TH SarabunPSK"/>
      <family val="2"/>
    </font>
    <font>
      <sz val="14"/>
      <color rgb="FF000000"/>
      <name val="TH SarabunPSK"/>
      <family val="2"/>
    </font>
    <font>
      <b/>
      <sz val="20"/>
      <color rgb="FFFF0000"/>
      <name val="TH SarabunPSK"/>
      <family val="2"/>
    </font>
    <font>
      <b/>
      <sz val="12"/>
      <color rgb="FFFF0000"/>
      <name val="TH SarabunPSK"/>
      <family val="2"/>
    </font>
    <font>
      <b/>
      <sz val="14"/>
      <color rgb="FFFFFFFF"/>
      <name val="TH SarabunPSK"/>
      <family val="2"/>
    </font>
    <font>
      <b/>
      <sz val="22"/>
      <color rgb="FFFFFFFF"/>
      <name val="TH SarabunPSK"/>
      <family val="2"/>
    </font>
    <font>
      <sz val="16"/>
      <color rgb="FFFFFFFF"/>
      <name val="TH SarabunPSK"/>
      <family val="2"/>
    </font>
    <font>
      <i/>
      <sz val="13"/>
      <color theme="1"/>
      <name val="TH SarabunPSK"/>
      <family val="2"/>
    </font>
    <font>
      <b/>
      <sz val="15"/>
      <color theme="1"/>
      <name val="TH SarabunPSK"/>
      <family val="2"/>
    </font>
    <font>
      <b/>
      <sz val="17"/>
      <color rgb="FFFFFFFF"/>
      <name val="TH SarabunPSK"/>
      <family val="2"/>
    </font>
    <font>
      <b/>
      <sz val="16"/>
      <color rgb="FF1F3864"/>
      <name val="TH SarabunPSK"/>
      <family val="2"/>
    </font>
    <font>
      <sz val="15"/>
      <color theme="1"/>
      <name val="TH SarabunPSK"/>
      <family val="2"/>
    </font>
    <font>
      <i/>
      <sz val="24"/>
      <color rgb="FFFF0000"/>
      <name val="TH SarabunPSK"/>
      <family val="2"/>
    </font>
    <font>
      <b/>
      <sz val="24"/>
      <color rgb="FFFF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F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1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2" borderId="15" xfId="0" applyFont="1" applyFill="1" applyBorder="1" applyAlignment="1" applyProtection="1">
      <alignment vertical="center"/>
      <protection locked="0"/>
    </xf>
    <xf numFmtId="0" fontId="7" fillId="2" borderId="1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vertical="center"/>
      <protection locked="0"/>
    </xf>
    <xf numFmtId="43" fontId="7" fillId="2" borderId="23" xfId="1" applyFont="1" applyFill="1" applyBorder="1" applyAlignment="1" applyProtection="1">
      <alignment vertical="center"/>
      <protection locked="0"/>
    </xf>
    <xf numFmtId="40" fontId="7" fillId="2" borderId="23" xfId="1" applyNumberFormat="1" applyFont="1" applyFill="1" applyBorder="1" applyAlignment="1" applyProtection="1">
      <alignment horizontal="right" vertical="center"/>
      <protection locked="0"/>
    </xf>
    <xf numFmtId="0" fontId="7" fillId="2" borderId="6" xfId="0" quotePrefix="1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0" fontId="7" fillId="2" borderId="7" xfId="0" applyFont="1" applyFill="1" applyBorder="1" applyAlignment="1" applyProtection="1">
      <alignment vertical="center"/>
      <protection locked="0"/>
    </xf>
    <xf numFmtId="43" fontId="7" fillId="2" borderId="19" xfId="1" applyFont="1" applyFill="1" applyBorder="1" applyAlignment="1" applyProtection="1">
      <alignment vertical="center"/>
      <protection locked="0"/>
    </xf>
    <xf numFmtId="40" fontId="7" fillId="2" borderId="19" xfId="1" applyNumberFormat="1" applyFont="1" applyFill="1" applyBorder="1" applyAlignment="1" applyProtection="1">
      <alignment horizontal="right" vertical="center"/>
      <protection locked="0"/>
    </xf>
    <xf numFmtId="43" fontId="7" fillId="2" borderId="6" xfId="1" quotePrefix="1" applyFont="1" applyFill="1" applyBorder="1" applyAlignment="1" applyProtection="1">
      <alignment vertical="center"/>
      <protection locked="0"/>
    </xf>
    <xf numFmtId="43" fontId="7" fillId="2" borderId="3" xfId="1" applyFont="1" applyFill="1" applyBorder="1" applyAlignment="1" applyProtection="1">
      <alignment vertical="center"/>
      <protection locked="0"/>
    </xf>
    <xf numFmtId="43" fontId="7" fillId="2" borderId="7" xfId="1" applyFont="1" applyFill="1" applyBorder="1" applyAlignment="1" applyProtection="1">
      <alignment vertical="center"/>
      <protection locked="0"/>
    </xf>
    <xf numFmtId="0" fontId="7" fillId="2" borderId="6" xfId="0" applyFont="1" applyFill="1" applyBorder="1" applyAlignment="1" applyProtection="1">
      <alignment vertical="center"/>
      <protection locked="0"/>
    </xf>
    <xf numFmtId="0" fontId="7" fillId="2" borderId="19" xfId="0" applyFont="1" applyFill="1" applyBorder="1" applyAlignment="1" applyProtection="1">
      <alignment vertical="center"/>
      <protection locked="0"/>
    </xf>
    <xf numFmtId="40" fontId="7" fillId="2" borderId="19" xfId="0" applyNumberFormat="1" applyFont="1" applyFill="1" applyBorder="1" applyAlignment="1" applyProtection="1">
      <alignment horizontal="right" vertical="center"/>
      <protection locked="0"/>
    </xf>
    <xf numFmtId="0" fontId="7" fillId="2" borderId="26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25" xfId="0" applyFont="1" applyFill="1" applyBorder="1" applyAlignment="1" applyProtection="1">
      <alignment vertical="center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40" fontId="7" fillId="2" borderId="22" xfId="0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3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 wrapText="1"/>
    </xf>
    <xf numFmtId="43" fontId="8" fillId="0" borderId="27" xfId="1" applyFont="1" applyFill="1" applyBorder="1" applyAlignment="1" applyProtection="1">
      <alignment vertical="center"/>
    </xf>
    <xf numFmtId="43" fontId="8" fillId="0" borderId="19" xfId="1" applyFont="1" applyFill="1" applyBorder="1" applyAlignment="1" applyProtection="1">
      <alignment vertical="center"/>
    </xf>
    <xf numFmtId="43" fontId="8" fillId="0" borderId="0" xfId="1" applyFont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vertical="center"/>
      <protection locked="0"/>
    </xf>
    <xf numFmtId="0" fontId="7" fillId="2" borderId="11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Alignment="1" applyProtection="1">
      <alignment vertical="center"/>
      <protection locked="0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90" fontId="7" fillId="0" borderId="10" xfId="0" applyNumberFormat="1" applyFont="1" applyBorder="1" applyAlignment="1">
      <alignment vertical="center"/>
    </xf>
    <xf numFmtId="189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8" fillId="0" borderId="3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17" fillId="8" borderId="37" xfId="0" applyFont="1" applyFill="1" applyBorder="1" applyAlignment="1">
      <alignment horizontal="center"/>
    </xf>
    <xf numFmtId="9" fontId="24" fillId="0" borderId="37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2" borderId="18" xfId="0" applyFont="1" applyFill="1" applyBorder="1" applyAlignment="1">
      <alignment vertical="center"/>
    </xf>
    <xf numFmtId="0" fontId="17" fillId="8" borderId="37" xfId="0" applyFont="1" applyFill="1" applyBorder="1" applyAlignment="1">
      <alignment horizontal="center" vertical="center" wrapText="1"/>
    </xf>
    <xf numFmtId="0" fontId="17" fillId="8" borderId="37" xfId="0" applyFont="1" applyFill="1" applyBorder="1" applyAlignment="1">
      <alignment horizontal="center" vertical="center"/>
    </xf>
    <xf numFmtId="0" fontId="24" fillId="0" borderId="37" xfId="0" applyFont="1" applyBorder="1" applyAlignment="1">
      <alignment vertical="center" wrapText="1"/>
    </xf>
    <xf numFmtId="9" fontId="24" fillId="0" borderId="37" xfId="0" applyNumberFormat="1" applyFont="1" applyBorder="1" applyAlignment="1">
      <alignment horizontal="center" vertical="center"/>
    </xf>
    <xf numFmtId="0" fontId="7" fillId="7" borderId="28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hidden="1"/>
    </xf>
    <xf numFmtId="190" fontId="7" fillId="0" borderId="1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89" fontId="10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7" fillId="0" borderId="29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7" fillId="0" borderId="2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/>
    </xf>
    <xf numFmtId="188" fontId="9" fillId="2" borderId="0" xfId="0" applyNumberFormat="1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87" fontId="7" fillId="0" borderId="13" xfId="0" applyNumberFormat="1" applyFont="1" applyBorder="1" applyAlignment="1">
      <alignment horizontal="center" vertical="center"/>
    </xf>
    <xf numFmtId="187" fontId="7" fillId="0" borderId="14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4" borderId="0" xfId="0" applyFont="1" applyFill="1" applyAlignment="1" applyProtection="1">
      <alignment horizontal="center" vertical="center" wrapText="1"/>
      <protection locked="0"/>
    </xf>
    <xf numFmtId="43" fontId="8" fillId="0" borderId="4" xfId="1" applyFont="1" applyBorder="1" applyAlignment="1" applyProtection="1">
      <alignment horizontal="center" vertical="center"/>
    </xf>
    <xf numFmtId="43" fontId="8" fillId="0" borderId="1" xfId="1" applyFont="1" applyBorder="1" applyAlignment="1" applyProtection="1">
      <alignment horizontal="center" vertical="center"/>
    </xf>
    <xf numFmtId="43" fontId="8" fillId="0" borderId="5" xfId="1" applyFont="1" applyBorder="1" applyAlignment="1" applyProtection="1">
      <alignment horizontal="center" vertical="center"/>
    </xf>
    <xf numFmtId="43" fontId="8" fillId="0" borderId="32" xfId="1" applyFont="1" applyBorder="1" applyAlignment="1" applyProtection="1">
      <alignment horizontal="center" vertical="center"/>
    </xf>
    <xf numFmtId="43" fontId="8" fillId="0" borderId="33" xfId="1" applyFont="1" applyBorder="1" applyAlignment="1" applyProtection="1">
      <alignment horizontal="center" vertical="center"/>
    </xf>
    <xf numFmtId="43" fontId="8" fillId="0" borderId="34" xfId="1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9" fillId="2" borderId="6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 applyProtection="1">
      <alignment horizontal="left" vertical="center" wrapText="1"/>
      <protection locked="0"/>
    </xf>
    <xf numFmtId="0" fontId="9" fillId="2" borderId="7" xfId="0" applyFont="1" applyFill="1" applyBorder="1" applyAlignment="1" applyProtection="1">
      <alignment horizontal="left" vertical="center" wrapText="1"/>
      <protection locked="0"/>
    </xf>
    <xf numFmtId="0" fontId="9" fillId="2" borderId="26" xfId="0" applyFont="1" applyFill="1" applyBorder="1" applyAlignment="1" applyProtection="1">
      <alignment horizontal="left" vertical="center" wrapText="1"/>
      <protection locked="0"/>
    </xf>
    <xf numFmtId="0" fontId="9" fillId="2" borderId="24" xfId="0" applyFont="1" applyFill="1" applyBorder="1" applyAlignment="1" applyProtection="1">
      <alignment horizontal="left" vertical="center" wrapText="1"/>
      <protection locked="0"/>
    </xf>
    <xf numFmtId="0" fontId="9" fillId="2" borderId="25" xfId="0" applyFont="1" applyFill="1" applyBorder="1" applyAlignment="1" applyProtection="1">
      <alignment horizontal="left" vertical="center" wrapText="1"/>
      <protection locked="0"/>
    </xf>
    <xf numFmtId="0" fontId="9" fillId="2" borderId="15" xfId="0" applyFont="1" applyFill="1" applyBorder="1" applyAlignment="1" applyProtection="1">
      <alignment horizontal="left" vertical="center" wrapText="1"/>
      <protection locked="0"/>
    </xf>
    <xf numFmtId="0" fontId="9" fillId="2" borderId="10" xfId="0" applyFont="1" applyFill="1" applyBorder="1" applyAlignment="1" applyProtection="1">
      <alignment horizontal="left" vertical="center" wrapText="1"/>
      <protection locked="0"/>
    </xf>
    <xf numFmtId="0" fontId="9" fillId="2" borderId="20" xfId="0" applyFont="1" applyFill="1" applyBorder="1" applyAlignment="1" applyProtection="1">
      <alignment horizontal="left" vertical="center" wrapText="1"/>
      <protection locked="0"/>
    </xf>
    <xf numFmtId="43" fontId="12" fillId="2" borderId="24" xfId="1" applyFont="1" applyFill="1" applyBorder="1" applyAlignment="1" applyProtection="1">
      <alignment vertical="center"/>
      <protection locked="0"/>
    </xf>
    <xf numFmtId="43" fontId="12" fillId="2" borderId="25" xfId="1" applyFont="1" applyFill="1" applyBorder="1" applyAlignment="1" applyProtection="1">
      <alignment vertical="center"/>
      <protection locked="0"/>
    </xf>
    <xf numFmtId="43" fontId="12" fillId="2" borderId="10" xfId="1" applyFont="1" applyFill="1" applyBorder="1" applyAlignment="1" applyProtection="1">
      <alignment vertical="center"/>
      <protection locked="0"/>
    </xf>
    <xf numFmtId="43" fontId="12" fillId="2" borderId="20" xfId="1" applyFont="1" applyFill="1" applyBorder="1" applyAlignment="1" applyProtection="1">
      <alignment vertical="center"/>
      <protection locked="0"/>
    </xf>
    <xf numFmtId="0" fontId="8" fillId="0" borderId="0" xfId="0" applyFont="1" applyAlignment="1">
      <alignment horizontal="right" vertical="center"/>
    </xf>
    <xf numFmtId="0" fontId="8" fillId="0" borderId="31" xfId="0" applyFont="1" applyBorder="1" applyAlignment="1">
      <alignment horizontal="right" vertical="center"/>
    </xf>
    <xf numFmtId="43" fontId="12" fillId="2" borderId="6" xfId="1" applyFont="1" applyFill="1" applyBorder="1" applyAlignment="1" applyProtection="1">
      <alignment vertical="center"/>
      <protection locked="0"/>
    </xf>
    <xf numFmtId="43" fontId="12" fillId="2" borderId="3" xfId="1" applyFont="1" applyFill="1" applyBorder="1" applyAlignment="1" applyProtection="1">
      <alignment vertical="center"/>
      <protection locked="0"/>
    </xf>
    <xf numFmtId="43" fontId="12" fillId="2" borderId="7" xfId="1" applyFont="1" applyFill="1" applyBorder="1" applyAlignment="1" applyProtection="1">
      <alignment vertical="center"/>
      <protection locked="0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90" fontId="9" fillId="2" borderId="0" xfId="0" applyNumberFormat="1" applyFont="1" applyFill="1" applyAlignment="1" applyProtection="1">
      <alignment horizontal="center" vertical="center"/>
      <protection locked="0"/>
    </xf>
    <xf numFmtId="188" fontId="11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3" fontId="7" fillId="0" borderId="26" xfId="0" applyNumberFormat="1" applyFont="1" applyBorder="1" applyAlignment="1">
      <alignment horizontal="left" vertical="center"/>
    </xf>
    <xf numFmtId="43" fontId="7" fillId="0" borderId="24" xfId="0" applyNumberFormat="1" applyFont="1" applyBorder="1" applyAlignment="1">
      <alignment horizontal="left" vertical="center"/>
    </xf>
    <xf numFmtId="43" fontId="7" fillId="0" borderId="25" xfId="0" applyNumberFormat="1" applyFont="1" applyBorder="1" applyAlignment="1">
      <alignment horizontal="left" vertical="center"/>
    </xf>
    <xf numFmtId="43" fontId="7" fillId="0" borderId="15" xfId="0" applyNumberFormat="1" applyFont="1" applyBorder="1" applyAlignment="1">
      <alignment horizontal="left" vertical="center"/>
    </xf>
    <xf numFmtId="43" fontId="7" fillId="0" borderId="10" xfId="0" applyNumberFormat="1" applyFont="1" applyBorder="1" applyAlignment="1">
      <alignment horizontal="left" vertical="center"/>
    </xf>
    <xf numFmtId="43" fontId="7" fillId="0" borderId="20" xfId="0" applyNumberFormat="1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43" fontId="12" fillId="2" borderId="4" xfId="1" applyFont="1" applyFill="1" applyBorder="1" applyAlignment="1" applyProtection="1">
      <alignment horizontal="center" vertical="center"/>
      <protection locked="0"/>
    </xf>
    <xf numFmtId="43" fontId="12" fillId="2" borderId="1" xfId="1" applyFont="1" applyFill="1" applyBorder="1" applyAlignment="1" applyProtection="1">
      <alignment horizontal="center" vertical="center"/>
      <protection locked="0"/>
    </xf>
    <xf numFmtId="43" fontId="12" fillId="2" borderId="5" xfId="1" applyFont="1" applyFill="1" applyBorder="1" applyAlignment="1" applyProtection="1">
      <alignment horizontal="center" vertical="center"/>
      <protection locked="0"/>
    </xf>
    <xf numFmtId="43" fontId="12" fillId="2" borderId="30" xfId="1" applyFont="1" applyFill="1" applyBorder="1" applyAlignment="1" applyProtection="1">
      <alignment horizontal="center" vertical="center"/>
      <protection locked="0"/>
    </xf>
    <xf numFmtId="43" fontId="12" fillId="2" borderId="0" xfId="1" applyFont="1" applyFill="1" applyBorder="1" applyAlignment="1" applyProtection="1">
      <alignment horizontal="center" vertical="center"/>
      <protection locked="0"/>
    </xf>
    <xf numFmtId="43" fontId="12" fillId="2" borderId="31" xfId="1" applyFont="1" applyFill="1" applyBorder="1" applyAlignment="1" applyProtection="1">
      <alignment horizontal="center" vertical="center"/>
      <protection locked="0"/>
    </xf>
    <xf numFmtId="43" fontId="12" fillId="2" borderId="15" xfId="1" applyFont="1" applyFill="1" applyBorder="1" applyAlignment="1" applyProtection="1">
      <alignment horizontal="center" vertical="center"/>
      <protection locked="0"/>
    </xf>
    <xf numFmtId="43" fontId="12" fillId="2" borderId="10" xfId="1" applyFont="1" applyFill="1" applyBorder="1" applyAlignment="1" applyProtection="1">
      <alignment horizontal="center" vertical="center"/>
      <protection locked="0"/>
    </xf>
    <xf numFmtId="43" fontId="12" fillId="2" borderId="20" xfId="1" applyFont="1" applyFill="1" applyBorder="1" applyAlignment="1" applyProtection="1">
      <alignment horizontal="center" vertical="center"/>
      <protection locked="0"/>
    </xf>
    <xf numFmtId="43" fontId="7" fillId="0" borderId="30" xfId="0" applyNumberFormat="1" applyFont="1" applyBorder="1" applyAlignment="1">
      <alignment horizontal="left" vertical="center"/>
    </xf>
    <xf numFmtId="43" fontId="7" fillId="0" borderId="0" xfId="0" applyNumberFormat="1" applyFont="1" applyAlignment="1">
      <alignment horizontal="left" vertical="center"/>
    </xf>
    <xf numFmtId="43" fontId="7" fillId="0" borderId="31" xfId="0" applyNumberFormat="1" applyFont="1" applyBorder="1" applyAlignment="1">
      <alignment horizontal="left" vertical="center"/>
    </xf>
    <xf numFmtId="0" fontId="9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5" xfId="0" applyFont="1" applyFill="1" applyBorder="1" applyAlignment="1" applyProtection="1">
      <alignment horizontal="left" vertical="center" wrapText="1"/>
      <protection locked="0"/>
    </xf>
    <xf numFmtId="0" fontId="9" fillId="2" borderId="30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31" xfId="0" applyFont="1" applyFill="1" applyBorder="1" applyAlignment="1" applyProtection="1">
      <alignment horizontal="left" vertical="center" wrapText="1"/>
      <protection locked="0"/>
    </xf>
    <xf numFmtId="43" fontId="7" fillId="0" borderId="4" xfId="0" applyNumberFormat="1" applyFont="1" applyBorder="1" applyAlignment="1">
      <alignment horizontal="left" vertical="center"/>
    </xf>
    <xf numFmtId="43" fontId="7" fillId="0" borderId="1" xfId="0" applyNumberFormat="1" applyFont="1" applyBorder="1" applyAlignment="1">
      <alignment horizontal="left" vertical="center"/>
    </xf>
    <xf numFmtId="43" fontId="7" fillId="0" borderId="5" xfId="0" applyNumberFormat="1" applyFont="1" applyBorder="1" applyAlignment="1">
      <alignment horizontal="left" vertical="center"/>
    </xf>
    <xf numFmtId="43" fontId="16" fillId="0" borderId="15" xfId="0" applyNumberFormat="1" applyFont="1" applyBorder="1" applyAlignment="1">
      <alignment horizontal="left" vertical="center" wrapText="1"/>
    </xf>
    <xf numFmtId="43" fontId="16" fillId="0" borderId="10" xfId="0" applyNumberFormat="1" applyFont="1" applyBorder="1" applyAlignment="1">
      <alignment horizontal="left" vertical="center" wrapText="1"/>
    </xf>
    <xf numFmtId="43" fontId="16" fillId="0" borderId="20" xfId="0" applyNumberFormat="1" applyFont="1" applyBorder="1" applyAlignment="1">
      <alignment horizontal="left" vertical="center" wrapText="1"/>
    </xf>
    <xf numFmtId="43" fontId="7" fillId="0" borderId="15" xfId="0" applyNumberFormat="1" applyFont="1" applyBorder="1" applyAlignment="1">
      <alignment horizontal="center" vertical="center"/>
    </xf>
    <xf numFmtId="43" fontId="7" fillId="0" borderId="10" xfId="0" applyNumberFormat="1" applyFont="1" applyBorder="1" applyAlignment="1">
      <alignment horizontal="center" vertical="center"/>
    </xf>
    <xf numFmtId="43" fontId="7" fillId="0" borderId="20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3" fillId="6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9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2" fillId="8" borderId="0" xfId="0" applyFont="1" applyFill="1" applyAlignment="1">
      <alignment vertical="center"/>
    </xf>
    <xf numFmtId="0" fontId="22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vertical="center" wrapText="1"/>
    </xf>
    <xf numFmtId="43" fontId="7" fillId="0" borderId="18" xfId="0" applyNumberFormat="1" applyFont="1" applyBorder="1" applyAlignment="1">
      <alignment horizontal="center" vertical="center"/>
    </xf>
    <xf numFmtId="43" fontId="7" fillId="0" borderId="35" xfId="0" applyNumberFormat="1" applyFont="1" applyBorder="1" applyAlignment="1">
      <alignment horizontal="center" vertical="center"/>
    </xf>
    <xf numFmtId="43" fontId="8" fillId="0" borderId="27" xfId="1" applyFont="1" applyBorder="1" applyAlignment="1" applyProtection="1">
      <alignment horizontal="center" vertical="center"/>
    </xf>
    <xf numFmtId="43" fontId="8" fillId="0" borderId="28" xfId="1" applyFont="1" applyBorder="1" applyAlignment="1" applyProtection="1">
      <alignment horizontal="center" vertical="center"/>
      <protection locked="0"/>
    </xf>
    <xf numFmtId="43" fontId="8" fillId="0" borderId="18" xfId="1" applyFont="1" applyBorder="1" applyAlignment="1" applyProtection="1">
      <alignment horizontal="center" vertical="center"/>
    </xf>
    <xf numFmtId="43" fontId="8" fillId="0" borderId="36" xfId="1" applyFont="1" applyBorder="1" applyAlignment="1" applyProtection="1">
      <alignment horizontal="center" vertical="center"/>
      <protection locked="0"/>
    </xf>
    <xf numFmtId="40" fontId="7" fillId="0" borderId="18" xfId="1" applyNumberFormat="1" applyFont="1" applyBorder="1" applyAlignment="1" applyProtection="1">
      <alignment horizontal="right" vertical="center"/>
    </xf>
    <xf numFmtId="40" fontId="7" fillId="0" borderId="35" xfId="1" applyNumberFormat="1" applyFont="1" applyBorder="1" applyAlignment="1" applyProtection="1">
      <alignment horizontal="right" vertical="center"/>
    </xf>
    <xf numFmtId="43" fontId="8" fillId="0" borderId="18" xfId="1" applyFont="1" applyFill="1" applyBorder="1" applyAlignment="1" applyProtection="1">
      <alignment horizontal="center" vertical="center"/>
    </xf>
    <xf numFmtId="43" fontId="8" fillId="0" borderId="35" xfId="1" applyFont="1" applyFill="1" applyBorder="1" applyAlignment="1" applyProtection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0" xfId="0" applyFont="1" applyBorder="1" applyAlignment="1">
      <alignment horizontal="left" vertical="center"/>
    </xf>
    <xf numFmtId="190" fontId="7" fillId="0" borderId="10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23" fillId="6" borderId="0" xfId="0" applyFont="1" applyFill="1" applyAlignment="1"/>
  </cellXfs>
  <cellStyles count="3">
    <cellStyle name="Normal 2" xfId="2" xr:uid="{6F87FB2B-92CB-41A4-9950-DC1263E67BE1}"/>
    <cellStyle name="จุลภาค" xfId="1" builtinId="3"/>
    <cellStyle name="ปกติ" xfId="0" builtinId="0"/>
  </cellStyles>
  <dxfs count="0"/>
  <tableStyles count="0" defaultTableStyle="TableStyleMedium9" defaultPivotStyle="PivotStyleLight16"/>
  <colors>
    <mruColors>
      <color rgb="FFFFCCFF"/>
      <color rgb="FF0000FF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10027</xdr:colOff>
      <xdr:row>2</xdr:row>
      <xdr:rowOff>282071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0BB8F-B6A7-A1DC-9B18-AB75BA08B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834815" cy="76333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95250</xdr:colOff>
          <xdr:row>32</xdr:row>
          <xdr:rowOff>9525</xdr:rowOff>
        </xdr:from>
        <xdr:to>
          <xdr:col>26</xdr:col>
          <xdr:colOff>200025</xdr:colOff>
          <xdr:row>33</xdr:row>
          <xdr:rowOff>28575</xdr:rowOff>
        </xdr:to>
        <xdr:sp macro="" textlink="">
          <xdr:nvSpPr>
            <xdr:cNvPr id="18463" name="Check Box 31" hidden="1">
              <a:extLst>
                <a:ext uri="{63B3BB69-23CF-44E3-9099-C40C66FF867C}">
                  <a14:compatExt spid="_x0000_s18463"/>
                </a:ext>
                <a:ext uri="{FF2B5EF4-FFF2-40B4-BE49-F238E27FC236}">
                  <a16:creationId xmlns:a16="http://schemas.microsoft.com/office/drawing/2014/main" id="{00000000-0008-0000-0100-00001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ต้องการ /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95250</xdr:colOff>
          <xdr:row>32</xdr:row>
          <xdr:rowOff>0</xdr:rowOff>
        </xdr:from>
        <xdr:to>
          <xdr:col>30</xdr:col>
          <xdr:colOff>676275</xdr:colOff>
          <xdr:row>33</xdr:row>
          <xdr:rowOff>28575</xdr:rowOff>
        </xdr:to>
        <xdr:sp macro="" textlink="">
          <xdr:nvSpPr>
            <xdr:cNvPr id="18464" name="Check Box 32" hidden="1">
              <a:extLst>
                <a:ext uri="{63B3BB69-23CF-44E3-9099-C40C66FF867C}">
                  <a14:compatExt spid="_x0000_s18464"/>
                </a:ext>
                <a:ext uri="{FF2B5EF4-FFF2-40B4-BE49-F238E27FC236}">
                  <a16:creationId xmlns:a16="http://schemas.microsoft.com/office/drawing/2014/main" id="{00000000-0008-0000-0100-00002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ไม่ต้องการ  /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B78225-3A33-438B-9F0B-B064E3404A4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c6f8548-c958-46ae-a9fe-375cc915dd1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Q197"/>
  <sheetViews>
    <sheetView showGridLines="0" zoomScale="85" zoomScaleNormal="85" workbookViewId="0">
      <pane ySplit="3" topLeftCell="A21" activePane="bottomLeft" state="frozen"/>
      <selection pane="bottomLeft" activeCell="G17" sqref="G17:H17"/>
    </sheetView>
  </sheetViews>
  <sheetFormatPr defaultColWidth="9" defaultRowHeight="21"/>
  <cols>
    <col min="1" max="1" width="2.75" style="1" customWidth="1"/>
    <col min="2" max="2" width="6.625" style="1" customWidth="1"/>
    <col min="3" max="3" width="95.125" style="1" customWidth="1"/>
    <col min="4" max="4" width="19.75" style="1" customWidth="1"/>
    <col min="5" max="5" width="2.75" style="1" customWidth="1"/>
    <col min="6" max="6" width="6.625" style="1" customWidth="1"/>
    <col min="7" max="7" width="95.125" style="1" customWidth="1"/>
    <col min="8" max="8" width="19.75" style="1" customWidth="1"/>
    <col min="9" max="17" width="11.375" style="1" customWidth="1"/>
    <col min="18" max="16384" width="9" style="1"/>
  </cols>
  <sheetData>
    <row r="1" spans="1:17" s="2" customFormat="1" ht="33.950000000000003" customHeight="1">
      <c r="A1" s="174" t="s">
        <v>0</v>
      </c>
      <c r="B1" s="174"/>
      <c r="C1" s="175"/>
      <c r="D1" s="174"/>
      <c r="E1" s="174"/>
      <c r="F1" s="174"/>
      <c r="G1" s="175"/>
      <c r="H1" s="174"/>
      <c r="I1" s="4"/>
      <c r="J1" s="4"/>
      <c r="K1" s="4"/>
      <c r="L1" s="4"/>
      <c r="M1" s="4"/>
      <c r="N1" s="4"/>
      <c r="O1" s="4"/>
      <c r="P1" s="4"/>
      <c r="Q1" s="4"/>
    </row>
    <row r="2" spans="1:17" ht="24" customHeight="1">
      <c r="A2" s="182" t="s">
        <v>1</v>
      </c>
      <c r="B2" s="182"/>
      <c r="C2" s="183"/>
      <c r="D2" s="182"/>
      <c r="E2" s="182"/>
      <c r="F2" s="182"/>
      <c r="G2" s="183"/>
      <c r="H2" s="182"/>
      <c r="I2" s="4"/>
      <c r="J2" s="4"/>
      <c r="K2" s="4"/>
      <c r="L2" s="4"/>
      <c r="M2" s="4"/>
      <c r="N2" s="4"/>
      <c r="O2" s="4"/>
      <c r="P2" s="4"/>
      <c r="Q2" s="4"/>
    </row>
    <row r="3" spans="1:17">
      <c r="A3" s="176" t="s">
        <v>2</v>
      </c>
      <c r="B3" s="176"/>
      <c r="C3" s="177"/>
      <c r="D3" s="176"/>
      <c r="E3" s="176"/>
      <c r="F3" s="176"/>
      <c r="G3" s="177"/>
      <c r="H3" s="176"/>
      <c r="I3" s="4"/>
      <c r="J3" s="4"/>
      <c r="K3" s="4"/>
      <c r="L3" s="4"/>
      <c r="M3" s="4"/>
      <c r="N3" s="4"/>
      <c r="O3" s="4"/>
      <c r="P3" s="4"/>
      <c r="Q3" s="4"/>
    </row>
    <row r="4" spans="1:17">
      <c r="A4" s="5"/>
      <c r="B4" s="5"/>
      <c r="C4" s="30"/>
      <c r="D4" s="5"/>
      <c r="E4" s="4"/>
      <c r="F4" s="4"/>
      <c r="G4" s="5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5"/>
      <c r="B5" s="178" t="s">
        <v>3</v>
      </c>
      <c r="C5" s="179"/>
      <c r="D5" s="178"/>
      <c r="E5" s="178"/>
      <c r="F5" s="178"/>
      <c r="G5" s="179"/>
      <c r="H5" s="178"/>
      <c r="I5" s="4"/>
      <c r="J5" s="4"/>
      <c r="K5" s="4"/>
      <c r="L5" s="4"/>
      <c r="M5" s="4"/>
      <c r="N5" s="4"/>
      <c r="O5" s="4"/>
      <c r="P5" s="4"/>
      <c r="Q5" s="4"/>
    </row>
    <row r="6" spans="1:17">
      <c r="A6" s="5"/>
      <c r="B6" s="55"/>
      <c r="C6" s="180" t="s">
        <v>4</v>
      </c>
      <c r="D6" s="181"/>
      <c r="E6" s="181"/>
      <c r="F6" s="181"/>
      <c r="G6" s="181"/>
      <c r="H6" s="181"/>
      <c r="I6" s="4"/>
      <c r="J6" s="4"/>
      <c r="K6" s="4"/>
      <c r="L6" s="4"/>
      <c r="M6" s="4"/>
      <c r="N6" s="4"/>
      <c r="O6" s="4"/>
      <c r="P6" s="4"/>
      <c r="Q6" s="4"/>
    </row>
    <row r="7" spans="1:17">
      <c r="A7" s="5"/>
      <c r="B7" s="60"/>
      <c r="C7" s="180" t="s">
        <v>5</v>
      </c>
      <c r="D7" s="181"/>
      <c r="E7" s="181"/>
      <c r="F7" s="181"/>
      <c r="G7" s="181"/>
      <c r="H7" s="181"/>
      <c r="I7" s="4"/>
      <c r="J7" s="4"/>
      <c r="K7" s="4"/>
      <c r="L7" s="4"/>
      <c r="M7" s="4"/>
      <c r="N7" s="4"/>
      <c r="O7" s="4"/>
      <c r="P7" s="4"/>
      <c r="Q7" s="4"/>
    </row>
    <row r="8" spans="1:17">
      <c r="A8" s="5"/>
      <c r="B8" s="5"/>
      <c r="C8" s="184"/>
      <c r="D8" s="214"/>
      <c r="E8" s="214"/>
      <c r="F8" s="214"/>
      <c r="G8" s="184"/>
      <c r="H8" s="214"/>
      <c r="I8" s="4"/>
      <c r="J8" s="4"/>
      <c r="K8" s="4"/>
      <c r="L8" s="4"/>
      <c r="M8" s="4"/>
      <c r="N8" s="4"/>
      <c r="O8" s="4"/>
      <c r="P8" s="4"/>
      <c r="Q8" s="4"/>
    </row>
    <row r="9" spans="1:17" ht="26.1" customHeight="1">
      <c r="A9" s="185" t="s">
        <v>6</v>
      </c>
      <c r="B9" s="186"/>
      <c r="C9" s="187"/>
      <c r="D9" s="185"/>
      <c r="E9" s="185" t="s">
        <v>7</v>
      </c>
      <c r="F9" s="186"/>
      <c r="G9" s="187"/>
      <c r="H9" s="185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5"/>
      <c r="B10" s="3"/>
      <c r="C10" s="30"/>
      <c r="D10" s="5"/>
      <c r="E10" s="4"/>
      <c r="F10" s="3"/>
      <c r="G10" s="30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24" customHeight="1">
      <c r="A11" s="5"/>
      <c r="B11" s="167" t="s">
        <v>8</v>
      </c>
      <c r="C11" s="168"/>
      <c r="D11" s="172"/>
      <c r="E11" s="4"/>
      <c r="F11" s="167" t="s">
        <v>9</v>
      </c>
      <c r="G11" s="168"/>
      <c r="H11" s="215"/>
      <c r="I11" s="4"/>
      <c r="J11" s="4"/>
      <c r="K11" s="4"/>
      <c r="L11" s="4"/>
      <c r="M11" s="4"/>
      <c r="N11" s="4"/>
      <c r="O11" s="4"/>
      <c r="P11" s="4"/>
      <c r="Q11" s="4"/>
    </row>
    <row r="12" spans="1:17" ht="42" customHeight="1">
      <c r="A12" s="5"/>
      <c r="B12" s="3"/>
      <c r="C12" s="169" t="s">
        <v>10</v>
      </c>
      <c r="D12" s="173"/>
      <c r="E12" s="4"/>
      <c r="F12" s="3"/>
      <c r="G12" s="169" t="s">
        <v>11</v>
      </c>
      <c r="H12" s="169"/>
      <c r="I12" s="4"/>
      <c r="J12" s="4"/>
      <c r="K12" s="4"/>
      <c r="L12" s="4"/>
      <c r="M12" s="4"/>
      <c r="N12" s="4"/>
      <c r="O12" s="4"/>
      <c r="P12" s="4"/>
      <c r="Q12" s="4"/>
    </row>
    <row r="13" spans="1:17" ht="21.95" customHeight="1">
      <c r="A13" s="5"/>
      <c r="B13" s="3" t="s">
        <v>12</v>
      </c>
      <c r="C13" s="169" t="s">
        <v>13</v>
      </c>
      <c r="D13" s="173"/>
      <c r="E13" s="4"/>
      <c r="F13" s="3" t="s">
        <v>12</v>
      </c>
      <c r="G13" s="169" t="s">
        <v>14</v>
      </c>
      <c r="H13" s="169"/>
      <c r="I13" s="4"/>
      <c r="J13" s="4"/>
      <c r="K13" s="4"/>
      <c r="L13" s="4"/>
      <c r="M13" s="4"/>
      <c r="N13" s="4"/>
      <c r="O13" s="4"/>
      <c r="P13" s="4"/>
      <c r="Q13" s="4"/>
    </row>
    <row r="14" spans="1:17" ht="21.95" customHeight="1">
      <c r="A14" s="5"/>
      <c r="B14" s="3" t="s">
        <v>15</v>
      </c>
      <c r="C14" s="169" t="s">
        <v>16</v>
      </c>
      <c r="D14" s="173"/>
      <c r="E14" s="4"/>
      <c r="F14" s="3" t="s">
        <v>15</v>
      </c>
      <c r="G14" s="169" t="s">
        <v>17</v>
      </c>
      <c r="H14" s="169"/>
      <c r="I14" s="4"/>
      <c r="J14" s="4"/>
      <c r="K14" s="4"/>
      <c r="L14" s="4"/>
      <c r="M14" s="4"/>
      <c r="N14" s="4"/>
      <c r="O14" s="4"/>
      <c r="P14" s="4"/>
      <c r="Q14" s="4"/>
    </row>
    <row r="15" spans="1:17" ht="21.95" customHeight="1">
      <c r="A15" s="5"/>
      <c r="B15" s="3" t="s">
        <v>18</v>
      </c>
      <c r="C15" s="169" t="s">
        <v>19</v>
      </c>
      <c r="D15" s="173"/>
      <c r="E15" s="4"/>
      <c r="F15" s="3" t="s">
        <v>18</v>
      </c>
      <c r="G15" s="169" t="s">
        <v>20</v>
      </c>
      <c r="H15" s="169"/>
      <c r="I15" s="4"/>
      <c r="J15" s="4"/>
      <c r="K15" s="4"/>
      <c r="L15" s="4"/>
      <c r="M15" s="4"/>
      <c r="N15" s="4"/>
      <c r="O15" s="4"/>
      <c r="P15" s="4"/>
      <c r="Q15" s="4"/>
    </row>
    <row r="16" spans="1:17" ht="21.95" customHeight="1">
      <c r="A16" s="5"/>
      <c r="B16" s="3" t="s">
        <v>21</v>
      </c>
      <c r="C16" s="169" t="s">
        <v>22</v>
      </c>
      <c r="D16" s="173"/>
      <c r="E16" s="4"/>
      <c r="F16" s="3" t="s">
        <v>21</v>
      </c>
      <c r="G16" s="169" t="s">
        <v>23</v>
      </c>
      <c r="H16" s="169"/>
      <c r="I16" s="4"/>
      <c r="J16" s="4"/>
      <c r="K16" s="4"/>
      <c r="L16" s="4"/>
      <c r="M16" s="4"/>
      <c r="N16" s="4"/>
      <c r="O16" s="4"/>
      <c r="P16" s="4"/>
      <c r="Q16" s="4"/>
    </row>
    <row r="17" spans="1:17" ht="39.950000000000003" customHeight="1">
      <c r="A17" s="5"/>
      <c r="B17" s="3" t="s">
        <v>24</v>
      </c>
      <c r="C17" s="169" t="s">
        <v>25</v>
      </c>
      <c r="D17" s="173"/>
      <c r="E17" s="4"/>
      <c r="F17" s="3" t="s">
        <v>24</v>
      </c>
      <c r="G17" s="169" t="s">
        <v>26</v>
      </c>
      <c r="H17" s="169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5"/>
      <c r="B18" s="3"/>
      <c r="C18" s="30"/>
      <c r="D18" s="5"/>
      <c r="E18" s="4"/>
      <c r="F18" s="3"/>
      <c r="G18" s="30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4" customHeight="1">
      <c r="A19" s="5"/>
      <c r="B19" s="167" t="s">
        <v>27</v>
      </c>
      <c r="C19" s="168"/>
      <c r="D19" s="172"/>
      <c r="E19" s="4"/>
      <c r="F19" s="167" t="s">
        <v>28</v>
      </c>
      <c r="G19" s="168"/>
      <c r="H19" s="215"/>
      <c r="I19" s="4"/>
      <c r="J19" s="4"/>
      <c r="K19" s="4"/>
      <c r="L19" s="4"/>
      <c r="M19" s="4"/>
      <c r="N19" s="4"/>
      <c r="O19" s="4"/>
      <c r="P19" s="4"/>
      <c r="Q19" s="4"/>
    </row>
    <row r="20" spans="1:17" ht="42" customHeight="1">
      <c r="A20" s="5"/>
      <c r="B20" s="3" t="s">
        <v>12</v>
      </c>
      <c r="C20" s="169" t="s">
        <v>29</v>
      </c>
      <c r="D20" s="173"/>
      <c r="E20" s="4"/>
      <c r="F20" s="3" t="s">
        <v>12</v>
      </c>
      <c r="G20" s="169" t="s">
        <v>30</v>
      </c>
      <c r="H20" s="169"/>
      <c r="I20" s="4"/>
      <c r="J20" s="4"/>
      <c r="K20" s="4"/>
      <c r="L20" s="4"/>
      <c r="M20" s="4"/>
      <c r="N20" s="4"/>
      <c r="O20" s="4"/>
      <c r="P20" s="4"/>
      <c r="Q20" s="4"/>
    </row>
    <row r="21" spans="1:17" ht="42" customHeight="1">
      <c r="A21" s="5"/>
      <c r="B21" s="3" t="s">
        <v>15</v>
      </c>
      <c r="C21" s="169" t="s">
        <v>31</v>
      </c>
      <c r="D21" s="173"/>
      <c r="E21" s="4"/>
      <c r="F21" s="3" t="s">
        <v>15</v>
      </c>
      <c r="G21" s="169" t="s">
        <v>32</v>
      </c>
      <c r="H21" s="169"/>
      <c r="I21" s="4"/>
      <c r="J21" s="4"/>
      <c r="K21" s="4"/>
      <c r="L21" s="4"/>
      <c r="M21" s="4"/>
      <c r="N21" s="4"/>
      <c r="O21" s="4"/>
      <c r="P21" s="4"/>
      <c r="Q21" s="4"/>
    </row>
    <row r="22" spans="1:17" ht="39.950000000000003" customHeight="1">
      <c r="A22" s="5"/>
      <c r="B22" s="3" t="s">
        <v>18</v>
      </c>
      <c r="C22" s="169" t="s">
        <v>33</v>
      </c>
      <c r="D22" s="173"/>
      <c r="E22" s="4"/>
      <c r="F22" s="3" t="s">
        <v>18</v>
      </c>
      <c r="G22" s="169" t="s">
        <v>34</v>
      </c>
      <c r="H22" s="169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5"/>
      <c r="B23" s="3"/>
      <c r="C23" s="30"/>
      <c r="D23" s="5"/>
      <c r="E23" s="4"/>
      <c r="F23" s="3"/>
      <c r="G23" s="30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24" customHeight="1">
      <c r="A24" s="5"/>
      <c r="B24" s="167" t="s">
        <v>35</v>
      </c>
      <c r="C24" s="168"/>
      <c r="D24" s="172"/>
      <c r="E24" s="4"/>
      <c r="F24" s="167" t="s">
        <v>36</v>
      </c>
      <c r="G24" s="168"/>
      <c r="H24" s="215"/>
      <c r="I24" s="4"/>
      <c r="J24" s="4"/>
      <c r="K24" s="4"/>
      <c r="L24" s="4"/>
      <c r="M24" s="4"/>
      <c r="N24" s="4"/>
      <c r="O24" s="4"/>
      <c r="P24" s="4"/>
      <c r="Q24" s="4"/>
    </row>
    <row r="25" spans="1:17" ht="24" customHeight="1">
      <c r="A25" s="5"/>
      <c r="B25" s="3" t="s">
        <v>37</v>
      </c>
      <c r="C25" s="169" t="s">
        <v>38</v>
      </c>
      <c r="D25" s="173"/>
      <c r="E25" s="4"/>
      <c r="F25" s="3" t="s">
        <v>37</v>
      </c>
      <c r="G25" s="169" t="s">
        <v>39</v>
      </c>
      <c r="H25" s="169"/>
      <c r="I25" s="4"/>
      <c r="J25" s="4"/>
      <c r="K25" s="4"/>
      <c r="L25" s="4"/>
      <c r="M25" s="4"/>
      <c r="N25" s="4"/>
      <c r="O25" s="4"/>
      <c r="P25" s="4"/>
      <c r="Q25" s="4"/>
    </row>
    <row r="26" spans="1:17" ht="24" customHeight="1">
      <c r="A26" s="5"/>
      <c r="B26" s="3" t="s">
        <v>37</v>
      </c>
      <c r="C26" s="169" t="s">
        <v>40</v>
      </c>
      <c r="D26" s="173"/>
      <c r="E26" s="4"/>
      <c r="F26" s="3" t="s">
        <v>37</v>
      </c>
      <c r="G26" s="169" t="s">
        <v>41</v>
      </c>
      <c r="H26" s="169"/>
      <c r="I26" s="4"/>
      <c r="J26" s="4"/>
      <c r="K26" s="4"/>
      <c r="L26" s="4"/>
      <c r="M26" s="4"/>
      <c r="N26" s="4"/>
      <c r="O26" s="4"/>
      <c r="P26" s="4"/>
      <c r="Q26" s="4"/>
    </row>
    <row r="27" spans="1:17" ht="24" customHeight="1">
      <c r="A27" s="5"/>
      <c r="B27" s="3" t="s">
        <v>37</v>
      </c>
      <c r="C27" s="169" t="s">
        <v>42</v>
      </c>
      <c r="D27" s="173"/>
      <c r="E27" s="4"/>
      <c r="F27" s="3" t="s">
        <v>37</v>
      </c>
      <c r="G27" s="169" t="s">
        <v>43</v>
      </c>
      <c r="H27" s="169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5"/>
      <c r="B28" s="3"/>
      <c r="C28" s="30"/>
      <c r="D28" s="5"/>
      <c r="E28" s="4"/>
      <c r="F28" s="3"/>
      <c r="G28" s="30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24" customHeight="1">
      <c r="A29" s="5"/>
      <c r="B29" s="167" t="s">
        <v>44</v>
      </c>
      <c r="C29" s="168"/>
      <c r="D29" s="172"/>
      <c r="E29" s="4"/>
      <c r="F29" s="167" t="s">
        <v>45</v>
      </c>
      <c r="G29" s="168"/>
      <c r="H29" s="215"/>
      <c r="I29" s="4"/>
      <c r="J29" s="4"/>
      <c r="K29" s="4"/>
      <c r="L29" s="4"/>
      <c r="M29" s="4"/>
      <c r="N29" s="4"/>
      <c r="O29" s="4"/>
      <c r="P29" s="4"/>
      <c r="Q29" s="4"/>
    </row>
    <row r="30" spans="1:17" ht="78" customHeight="1">
      <c r="A30" s="5"/>
      <c r="B30" s="3" t="s">
        <v>37</v>
      </c>
      <c r="C30" s="169" t="s">
        <v>46</v>
      </c>
      <c r="D30" s="169"/>
      <c r="E30" s="4"/>
      <c r="F30" s="3" t="s">
        <v>37</v>
      </c>
      <c r="G30" s="169" t="s">
        <v>47</v>
      </c>
      <c r="H30" s="169"/>
      <c r="I30" s="4"/>
      <c r="J30" s="4"/>
      <c r="K30" s="4"/>
      <c r="L30" s="4"/>
      <c r="M30" s="4"/>
      <c r="N30" s="4"/>
      <c r="O30" s="4"/>
      <c r="P30" s="4"/>
      <c r="Q30" s="4"/>
    </row>
    <row r="31" spans="1:17" ht="60" customHeight="1">
      <c r="A31" s="5"/>
      <c r="B31" s="3" t="s">
        <v>37</v>
      </c>
      <c r="C31" s="169" t="s">
        <v>48</v>
      </c>
      <c r="D31" s="173"/>
      <c r="E31" s="4"/>
      <c r="F31" s="3" t="s">
        <v>37</v>
      </c>
      <c r="G31" s="169" t="s">
        <v>49</v>
      </c>
      <c r="H31" s="169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5"/>
      <c r="B32" s="3"/>
      <c r="C32" s="30"/>
      <c r="D32" s="5"/>
      <c r="E32" s="4"/>
      <c r="F32" s="3"/>
      <c r="G32" s="30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24" customHeight="1">
      <c r="A33" s="5"/>
      <c r="B33" s="167" t="s">
        <v>50</v>
      </c>
      <c r="C33" s="168"/>
      <c r="D33" s="172"/>
      <c r="E33" s="4"/>
      <c r="F33" s="167" t="s">
        <v>51</v>
      </c>
      <c r="G33" s="168"/>
      <c r="H33" s="215"/>
      <c r="I33" s="4"/>
      <c r="J33" s="4"/>
      <c r="K33" s="4"/>
      <c r="L33" s="4"/>
      <c r="M33" s="4"/>
      <c r="N33" s="4"/>
      <c r="O33" s="4"/>
      <c r="P33" s="4"/>
      <c r="Q33" s="4"/>
    </row>
    <row r="34" spans="1:17" ht="78" customHeight="1">
      <c r="A34" s="5"/>
      <c r="B34" s="3"/>
      <c r="C34" s="169" t="s">
        <v>52</v>
      </c>
      <c r="D34" s="173"/>
      <c r="E34" s="4"/>
      <c r="F34" s="3"/>
      <c r="G34" s="169" t="s">
        <v>53</v>
      </c>
      <c r="H34" s="169"/>
      <c r="I34" s="4"/>
      <c r="J34" s="4"/>
      <c r="K34" s="4"/>
      <c r="L34" s="4"/>
      <c r="M34" s="4"/>
      <c r="N34" s="4"/>
      <c r="O34" s="4"/>
      <c r="P34" s="4"/>
      <c r="Q34" s="4"/>
    </row>
    <row r="35" spans="1:17" ht="24" customHeight="1">
      <c r="A35" s="5"/>
      <c r="B35" s="3"/>
      <c r="C35" s="56" t="s">
        <v>54</v>
      </c>
      <c r="D35" s="57" t="s">
        <v>55</v>
      </c>
      <c r="E35" s="4"/>
      <c r="F35" s="3"/>
      <c r="G35" s="56" t="s">
        <v>56</v>
      </c>
      <c r="H35" s="52" t="s">
        <v>57</v>
      </c>
      <c r="I35" s="4"/>
      <c r="J35" s="4"/>
      <c r="K35" s="4"/>
      <c r="L35" s="4"/>
      <c r="M35" s="4"/>
      <c r="N35" s="4"/>
      <c r="O35" s="4"/>
      <c r="P35" s="4"/>
      <c r="Q35" s="4"/>
    </row>
    <row r="36" spans="1:17" ht="21.95" customHeight="1">
      <c r="A36" s="5"/>
      <c r="B36" s="3"/>
      <c r="C36" s="58" t="s">
        <v>58</v>
      </c>
      <c r="D36" s="59">
        <v>0.03</v>
      </c>
      <c r="E36" s="4"/>
      <c r="F36" s="3"/>
      <c r="G36" s="58" t="s">
        <v>59</v>
      </c>
      <c r="H36" s="53">
        <f t="shared" ref="H36:H45" si="0">D36</f>
        <v>0.03</v>
      </c>
      <c r="I36" s="4"/>
      <c r="J36" s="4"/>
      <c r="K36" s="4"/>
      <c r="L36" s="4"/>
      <c r="M36" s="4"/>
      <c r="N36" s="4"/>
      <c r="O36" s="4"/>
      <c r="P36" s="4"/>
      <c r="Q36" s="4"/>
    </row>
    <row r="37" spans="1:17" ht="21.95" customHeight="1">
      <c r="A37" s="5"/>
      <c r="B37" s="3"/>
      <c r="C37" s="58" t="s">
        <v>60</v>
      </c>
      <c r="D37" s="59">
        <v>0.03</v>
      </c>
      <c r="E37" s="4"/>
      <c r="F37" s="3"/>
      <c r="G37" s="58" t="s">
        <v>61</v>
      </c>
      <c r="H37" s="53">
        <f t="shared" si="0"/>
        <v>0.03</v>
      </c>
      <c r="I37" s="4"/>
      <c r="J37" s="4"/>
      <c r="K37" s="4"/>
      <c r="L37" s="4"/>
      <c r="M37" s="4"/>
      <c r="N37" s="4"/>
      <c r="O37" s="4"/>
      <c r="P37" s="4"/>
      <c r="Q37" s="4"/>
    </row>
    <row r="38" spans="1:17" ht="21.95" customHeight="1">
      <c r="A38" s="5"/>
      <c r="B38" s="3"/>
      <c r="C38" s="58" t="s">
        <v>62</v>
      </c>
      <c r="D38" s="59">
        <v>0.03</v>
      </c>
      <c r="E38" s="4"/>
      <c r="F38" s="3"/>
      <c r="G38" s="58" t="s">
        <v>63</v>
      </c>
      <c r="H38" s="53">
        <f t="shared" si="0"/>
        <v>0.03</v>
      </c>
      <c r="I38" s="4"/>
      <c r="J38" s="4"/>
      <c r="K38" s="4"/>
      <c r="L38" s="4"/>
      <c r="M38" s="4"/>
      <c r="N38" s="4"/>
      <c r="O38" s="4"/>
      <c r="P38" s="4"/>
      <c r="Q38" s="4"/>
    </row>
    <row r="39" spans="1:17" ht="21.95" customHeight="1">
      <c r="A39" s="5"/>
      <c r="B39" s="3"/>
      <c r="C39" s="58" t="s">
        <v>64</v>
      </c>
      <c r="D39" s="59">
        <v>0.03</v>
      </c>
      <c r="E39" s="4"/>
      <c r="F39" s="3"/>
      <c r="G39" s="58" t="s">
        <v>65</v>
      </c>
      <c r="H39" s="53">
        <f t="shared" si="0"/>
        <v>0.03</v>
      </c>
      <c r="I39" s="4"/>
      <c r="J39" s="4"/>
      <c r="K39" s="4"/>
      <c r="L39" s="4"/>
      <c r="M39" s="4"/>
      <c r="N39" s="4"/>
      <c r="O39" s="4"/>
      <c r="P39" s="4"/>
      <c r="Q39" s="4"/>
    </row>
    <row r="40" spans="1:17" ht="21.95" customHeight="1">
      <c r="A40" s="5"/>
      <c r="B40" s="3"/>
      <c r="C40" s="58" t="s">
        <v>66</v>
      </c>
      <c r="D40" s="59">
        <v>0.03</v>
      </c>
      <c r="E40" s="4"/>
      <c r="F40" s="3"/>
      <c r="G40" s="58" t="s">
        <v>67</v>
      </c>
      <c r="H40" s="53">
        <f t="shared" si="0"/>
        <v>0.03</v>
      </c>
      <c r="I40" s="4"/>
      <c r="J40" s="4"/>
      <c r="K40" s="4"/>
      <c r="L40" s="4"/>
      <c r="M40" s="4"/>
      <c r="N40" s="4"/>
      <c r="O40" s="4"/>
      <c r="P40" s="4"/>
      <c r="Q40" s="4"/>
    </row>
    <row r="41" spans="1:17" ht="21.95" customHeight="1">
      <c r="A41" s="5"/>
      <c r="B41" s="3"/>
      <c r="C41" s="58" t="s">
        <v>68</v>
      </c>
      <c r="D41" s="59">
        <v>0.05</v>
      </c>
      <c r="E41" s="4"/>
      <c r="F41" s="3"/>
      <c r="G41" s="58" t="s">
        <v>69</v>
      </c>
      <c r="H41" s="53">
        <f t="shared" si="0"/>
        <v>0.05</v>
      </c>
      <c r="I41" s="4"/>
      <c r="J41" s="4"/>
      <c r="K41" s="4"/>
      <c r="L41" s="4"/>
      <c r="M41" s="4"/>
      <c r="N41" s="4"/>
      <c r="O41" s="4"/>
      <c r="P41" s="4"/>
      <c r="Q41" s="4"/>
    </row>
    <row r="42" spans="1:17" ht="21.95" customHeight="1">
      <c r="A42" s="5"/>
      <c r="B42" s="3"/>
      <c r="C42" s="58" t="s">
        <v>70</v>
      </c>
      <c r="D42" s="59">
        <v>0.05</v>
      </c>
      <c r="E42" s="4"/>
      <c r="F42" s="3"/>
      <c r="G42" s="58" t="s">
        <v>71</v>
      </c>
      <c r="H42" s="53">
        <f t="shared" si="0"/>
        <v>0.05</v>
      </c>
      <c r="I42" s="4"/>
      <c r="J42" s="4"/>
      <c r="K42" s="4"/>
      <c r="L42" s="4"/>
      <c r="M42" s="4"/>
      <c r="N42" s="4"/>
      <c r="O42" s="4"/>
      <c r="P42" s="4"/>
      <c r="Q42" s="4"/>
    </row>
    <row r="43" spans="1:17" ht="21.95" customHeight="1">
      <c r="A43" s="5"/>
      <c r="B43" s="3"/>
      <c r="C43" s="58" t="s">
        <v>72</v>
      </c>
      <c r="D43" s="59">
        <v>0.02</v>
      </c>
      <c r="E43" s="4"/>
      <c r="F43" s="3"/>
      <c r="G43" s="58" t="s">
        <v>73</v>
      </c>
      <c r="H43" s="53">
        <f t="shared" si="0"/>
        <v>0.02</v>
      </c>
      <c r="I43" s="4"/>
      <c r="J43" s="4"/>
      <c r="K43" s="4"/>
      <c r="L43" s="4"/>
      <c r="M43" s="4"/>
      <c r="N43" s="4"/>
      <c r="O43" s="4"/>
      <c r="P43" s="4"/>
      <c r="Q43" s="4"/>
    </row>
    <row r="44" spans="1:17" ht="21.95" customHeight="1">
      <c r="A44" s="5"/>
      <c r="B44" s="3"/>
      <c r="C44" s="58" t="s">
        <v>74</v>
      </c>
      <c r="D44" s="59">
        <v>0.01</v>
      </c>
      <c r="E44" s="4"/>
      <c r="F44" s="3"/>
      <c r="G44" s="58" t="s">
        <v>75</v>
      </c>
      <c r="H44" s="53">
        <f t="shared" si="0"/>
        <v>0.01</v>
      </c>
      <c r="I44" s="4"/>
      <c r="J44" s="4"/>
      <c r="K44" s="4"/>
      <c r="L44" s="4"/>
      <c r="M44" s="4"/>
      <c r="N44" s="4"/>
      <c r="O44" s="4"/>
      <c r="P44" s="4"/>
      <c r="Q44" s="4"/>
    </row>
    <row r="45" spans="1:17" ht="21.95" customHeight="1">
      <c r="A45" s="5"/>
      <c r="B45" s="3"/>
      <c r="C45" s="58" t="s">
        <v>76</v>
      </c>
      <c r="D45" s="59">
        <v>0.01</v>
      </c>
      <c r="E45" s="4"/>
      <c r="F45" s="3"/>
      <c r="G45" s="58" t="s">
        <v>77</v>
      </c>
      <c r="H45" s="53">
        <f t="shared" si="0"/>
        <v>0.01</v>
      </c>
      <c r="I45" s="4"/>
      <c r="J45" s="4"/>
      <c r="K45" s="4"/>
      <c r="L45" s="4"/>
      <c r="M45" s="4"/>
      <c r="N45" s="4"/>
      <c r="O45" s="4"/>
      <c r="P45" s="4"/>
      <c r="Q45" s="4"/>
    </row>
    <row r="46" spans="1:17">
      <c r="A46" s="5"/>
      <c r="B46" s="5"/>
      <c r="C46" s="30"/>
      <c r="D46" s="5"/>
      <c r="E46" s="4"/>
      <c r="F46" s="4"/>
      <c r="G46" s="5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30.75">
      <c r="A47" s="5"/>
      <c r="B47" s="170" t="s">
        <v>78</v>
      </c>
      <c r="C47" s="171"/>
      <c r="D47" s="170"/>
      <c r="E47" s="170"/>
      <c r="F47" s="170"/>
      <c r="G47" s="171"/>
      <c r="H47" s="170"/>
      <c r="I47" s="4"/>
      <c r="J47" s="4"/>
      <c r="K47" s="4"/>
      <c r="L47" s="4"/>
      <c r="M47" s="4"/>
      <c r="N47" s="4"/>
      <c r="O47" s="4"/>
      <c r="P47" s="4"/>
      <c r="Q47" s="4"/>
    </row>
    <row r="48" spans="1:17">
      <c r="A48"/>
      <c r="B48"/>
      <c r="C48"/>
      <c r="D48"/>
      <c r="E48" s="4"/>
      <c r="F48" s="4"/>
      <c r="G48" s="4"/>
      <c r="H48" s="4"/>
      <c r="I48"/>
      <c r="J48"/>
      <c r="K48"/>
      <c r="L48"/>
      <c r="M48"/>
      <c r="N48"/>
      <c r="O48"/>
      <c r="P48"/>
      <c r="Q48"/>
    </row>
    <row r="49" spans="1:17">
      <c r="A49"/>
      <c r="B49"/>
      <c r="C49"/>
      <c r="D49"/>
      <c r="E49" s="4"/>
      <c r="F49" s="4"/>
      <c r="G49" s="4"/>
      <c r="H49" s="4"/>
      <c r="I49"/>
      <c r="J49"/>
      <c r="K49"/>
      <c r="L49"/>
      <c r="M49"/>
      <c r="N49"/>
      <c r="O49"/>
      <c r="P49"/>
      <c r="Q49"/>
    </row>
    <row r="50" spans="1:17">
      <c r="A50"/>
      <c r="B50"/>
      <c r="C50"/>
      <c r="D50"/>
      <c r="E50" s="4"/>
      <c r="F50" s="4"/>
      <c r="G50" s="4"/>
      <c r="H50" s="4"/>
      <c r="I50"/>
      <c r="J50"/>
      <c r="K50"/>
      <c r="L50"/>
      <c r="M50"/>
      <c r="N50"/>
      <c r="O50"/>
      <c r="P50"/>
      <c r="Q50"/>
    </row>
    <row r="51" spans="1:17" ht="21" customHeight="1">
      <c r="A51"/>
      <c r="B51"/>
      <c r="C51"/>
      <c r="D51"/>
      <c r="E51" s="4"/>
      <c r="F51" s="4"/>
      <c r="G51" s="4"/>
      <c r="H51" s="4"/>
      <c r="I51"/>
      <c r="J51"/>
      <c r="K51"/>
      <c r="L51"/>
      <c r="M51"/>
      <c r="N51"/>
      <c r="O51"/>
      <c r="P51"/>
      <c r="Q51"/>
    </row>
    <row r="52" spans="1:17">
      <c r="A52"/>
      <c r="B52"/>
      <c r="C52"/>
      <c r="D52"/>
      <c r="E52" s="4"/>
      <c r="F52" s="4"/>
      <c r="G52" s="4"/>
      <c r="H52" s="4"/>
      <c r="I52"/>
      <c r="J52"/>
      <c r="K52"/>
      <c r="L52"/>
      <c r="M52"/>
      <c r="N52"/>
      <c r="O52"/>
      <c r="P52"/>
      <c r="Q52"/>
    </row>
    <row r="53" spans="1:17">
      <c r="A53"/>
      <c r="B53"/>
      <c r="C53"/>
      <c r="D53"/>
      <c r="E53" s="4"/>
      <c r="F53" s="4"/>
      <c r="G53" s="4"/>
      <c r="H53" s="4"/>
      <c r="I53"/>
      <c r="J53"/>
      <c r="K53"/>
      <c r="L53"/>
      <c r="M53"/>
      <c r="N53"/>
      <c r="O53"/>
      <c r="P53"/>
      <c r="Q53"/>
    </row>
    <row r="54" spans="1:17">
      <c r="A54"/>
      <c r="B54"/>
      <c r="C54"/>
      <c r="D54"/>
      <c r="E54" s="4"/>
      <c r="F54" s="4"/>
      <c r="G54" s="4"/>
      <c r="H54" s="4"/>
      <c r="I54"/>
      <c r="J54"/>
      <c r="K54"/>
      <c r="L54"/>
      <c r="M54"/>
      <c r="N54"/>
      <c r="O54"/>
      <c r="P54"/>
      <c r="Q54"/>
    </row>
    <row r="55" spans="1:17">
      <c r="A55"/>
      <c r="B55"/>
      <c r="C55"/>
      <c r="D55"/>
      <c r="E55" s="4"/>
      <c r="F55" s="4"/>
      <c r="G55" s="4"/>
      <c r="H55" s="4"/>
      <c r="I55"/>
      <c r="J55"/>
      <c r="K55"/>
      <c r="L55"/>
      <c r="M55"/>
      <c r="N55"/>
      <c r="O55"/>
      <c r="P55"/>
      <c r="Q55"/>
    </row>
    <row r="56" spans="1:17">
      <c r="A56"/>
      <c r="B56"/>
      <c r="C56"/>
      <c r="D56"/>
      <c r="E56" s="4"/>
      <c r="F56" s="4"/>
      <c r="G56" s="4"/>
      <c r="H56" s="4"/>
      <c r="I56"/>
      <c r="J56"/>
      <c r="K56"/>
      <c r="L56"/>
      <c r="M56"/>
      <c r="N56"/>
      <c r="O56"/>
      <c r="P56"/>
      <c r="Q56"/>
    </row>
    <row r="57" spans="1:17">
      <c r="A57"/>
      <c r="B57"/>
      <c r="C57"/>
      <c r="D57"/>
      <c r="E57" s="4"/>
      <c r="F57" s="4"/>
      <c r="G57" s="4"/>
      <c r="H57" s="4"/>
      <c r="I57"/>
      <c r="J57"/>
      <c r="K57"/>
      <c r="L57"/>
      <c r="M57"/>
      <c r="N57"/>
      <c r="O57"/>
      <c r="P57"/>
      <c r="Q57"/>
    </row>
    <row r="58" spans="1:17">
      <c r="A58"/>
      <c r="B58"/>
      <c r="C58"/>
      <c r="D58"/>
      <c r="E58" s="4"/>
      <c r="F58" s="4"/>
      <c r="G58" s="4"/>
      <c r="H58" s="4"/>
      <c r="I58"/>
      <c r="J58"/>
      <c r="K58"/>
      <c r="L58"/>
      <c r="M58"/>
      <c r="N58"/>
      <c r="O58"/>
      <c r="P58"/>
      <c r="Q58"/>
    </row>
    <row r="59" spans="1:17">
      <c r="A59"/>
      <c r="B59"/>
      <c r="C59"/>
      <c r="D59"/>
      <c r="E59" s="4"/>
      <c r="F59" s="4"/>
      <c r="G59" s="4"/>
      <c r="H59" s="4"/>
      <c r="I59"/>
      <c r="J59"/>
      <c r="K59"/>
      <c r="L59"/>
      <c r="M59"/>
      <c r="N59"/>
      <c r="O59"/>
      <c r="P59"/>
      <c r="Q59"/>
    </row>
    <row r="60" spans="1:17">
      <c r="A60"/>
      <c r="B60"/>
      <c r="C60"/>
      <c r="D60"/>
      <c r="E60" s="4"/>
      <c r="F60" s="4"/>
      <c r="G60" s="4"/>
      <c r="H60" s="4"/>
      <c r="I60"/>
      <c r="J60"/>
      <c r="K60"/>
      <c r="L60"/>
      <c r="M60"/>
      <c r="N60"/>
      <c r="O60"/>
      <c r="P60"/>
      <c r="Q60"/>
    </row>
    <row r="61" spans="1:17">
      <c r="A61"/>
      <c r="B61"/>
      <c r="C61"/>
      <c r="D61"/>
      <c r="E61" s="4"/>
      <c r="F61" s="4"/>
      <c r="G61" s="4"/>
      <c r="H61" s="4"/>
      <c r="I61"/>
      <c r="J61"/>
      <c r="K61"/>
      <c r="L61"/>
      <c r="M61"/>
      <c r="N61"/>
      <c r="O61"/>
      <c r="P61"/>
      <c r="Q61"/>
    </row>
    <row r="62" spans="1:17">
      <c r="A62"/>
      <c r="B62"/>
      <c r="C62"/>
      <c r="D62"/>
      <c r="E62" s="4"/>
      <c r="F62" s="4"/>
      <c r="G62" s="4"/>
      <c r="H62" s="4"/>
      <c r="I62"/>
      <c r="J62"/>
      <c r="K62"/>
      <c r="L62"/>
      <c r="M62"/>
      <c r="N62"/>
      <c r="O62"/>
      <c r="P62"/>
      <c r="Q62"/>
    </row>
    <row r="63" spans="1:17">
      <c r="A63"/>
      <c r="B63"/>
      <c r="C63"/>
      <c r="D63"/>
      <c r="E63" s="4"/>
      <c r="F63" s="4"/>
      <c r="G63" s="4"/>
      <c r="H63" s="4"/>
      <c r="I63"/>
      <c r="J63"/>
      <c r="K63"/>
      <c r="L63"/>
      <c r="M63"/>
      <c r="N63"/>
      <c r="O63"/>
      <c r="P63"/>
      <c r="Q63"/>
    </row>
    <row r="64" spans="1:17">
      <c r="A64"/>
      <c r="B64"/>
      <c r="C64"/>
      <c r="D64"/>
      <c r="E64" s="4"/>
      <c r="F64" s="4"/>
      <c r="G64" s="4"/>
      <c r="H64" s="4"/>
      <c r="I64"/>
      <c r="J64"/>
      <c r="K64"/>
      <c r="L64"/>
      <c r="M64"/>
      <c r="N64"/>
      <c r="O64"/>
      <c r="P64"/>
      <c r="Q64"/>
    </row>
    <row r="65" spans="1:17">
      <c r="A65"/>
      <c r="B65"/>
      <c r="C65"/>
      <c r="D65"/>
      <c r="E65" s="4"/>
      <c r="F65" s="4"/>
      <c r="G65" s="4"/>
      <c r="H65" s="4"/>
      <c r="I65"/>
      <c r="J65"/>
      <c r="K65"/>
      <c r="L65"/>
      <c r="M65"/>
      <c r="N65"/>
      <c r="O65"/>
      <c r="P65"/>
      <c r="Q65"/>
    </row>
    <row r="66" spans="1:17">
      <c r="A66"/>
      <c r="B66"/>
      <c r="C66"/>
      <c r="D66"/>
      <c r="E66" s="4"/>
      <c r="F66" s="4"/>
      <c r="G66" s="4"/>
      <c r="H66" s="4"/>
      <c r="I66"/>
      <c r="J66"/>
      <c r="K66"/>
      <c r="L66"/>
      <c r="M66"/>
      <c r="N66"/>
      <c r="O66"/>
      <c r="P66"/>
      <c r="Q66"/>
    </row>
    <row r="67" spans="1:17">
      <c r="A67"/>
      <c r="B67"/>
      <c r="C67"/>
      <c r="D67"/>
      <c r="E67" s="4"/>
      <c r="F67" s="4"/>
      <c r="G67" s="4"/>
      <c r="H67" s="4"/>
      <c r="I67"/>
      <c r="J67"/>
      <c r="K67"/>
      <c r="L67"/>
      <c r="M67"/>
      <c r="N67"/>
      <c r="O67"/>
      <c r="P67"/>
      <c r="Q67"/>
    </row>
    <row r="68" spans="1:17">
      <c r="A68"/>
      <c r="B68"/>
      <c r="C68"/>
      <c r="D68"/>
      <c r="E68" s="4"/>
      <c r="F68" s="4"/>
      <c r="G68" s="4"/>
      <c r="H68" s="4"/>
      <c r="I68"/>
      <c r="J68"/>
      <c r="K68"/>
      <c r="L68"/>
      <c r="M68"/>
      <c r="N68"/>
      <c r="O68"/>
      <c r="P68"/>
      <c r="Q68"/>
    </row>
    <row r="69" spans="1:17" ht="21" customHeight="1">
      <c r="A69"/>
      <c r="B69"/>
      <c r="C69"/>
      <c r="D69"/>
      <c r="E69" s="4"/>
      <c r="F69" s="4"/>
      <c r="G69" s="4"/>
      <c r="H69" s="4"/>
      <c r="I69"/>
      <c r="J69"/>
      <c r="K69"/>
      <c r="L69"/>
      <c r="M69"/>
      <c r="N69"/>
      <c r="O69"/>
      <c r="P69"/>
      <c r="Q69"/>
    </row>
    <row r="70" spans="1:17" ht="21" customHeight="1">
      <c r="A70"/>
      <c r="B70"/>
      <c r="C70"/>
      <c r="D70"/>
      <c r="E70" s="4"/>
      <c r="F70" s="4"/>
      <c r="G70" s="4"/>
      <c r="H70" s="4"/>
      <c r="I70"/>
      <c r="J70"/>
      <c r="K70"/>
      <c r="L70"/>
      <c r="M70"/>
      <c r="N70"/>
      <c r="O70"/>
      <c r="P70"/>
      <c r="Q70"/>
    </row>
    <row r="71" spans="1:17">
      <c r="A71"/>
      <c r="B71"/>
      <c r="C71"/>
      <c r="D71"/>
      <c r="E71" s="4"/>
      <c r="F71" s="4"/>
      <c r="G71" s="4"/>
      <c r="H71" s="4"/>
      <c r="I71"/>
      <c r="J71"/>
      <c r="K71"/>
      <c r="L71"/>
      <c r="M71"/>
      <c r="N71"/>
      <c r="O71"/>
      <c r="P71"/>
      <c r="Q71"/>
    </row>
    <row r="72" spans="1:17">
      <c r="A72"/>
      <c r="B72"/>
      <c r="C72"/>
      <c r="D72"/>
      <c r="E72" s="4"/>
      <c r="F72" s="4"/>
      <c r="G72" s="4"/>
      <c r="H72" s="4"/>
      <c r="I72"/>
      <c r="J72"/>
      <c r="K72"/>
      <c r="L72"/>
      <c r="M72"/>
      <c r="N72"/>
      <c r="O72"/>
      <c r="P72"/>
      <c r="Q72"/>
    </row>
    <row r="73" spans="1:17" ht="21" customHeight="1">
      <c r="A73"/>
      <c r="B73"/>
      <c r="C73"/>
      <c r="D73"/>
      <c r="E73" s="4"/>
      <c r="F73" s="4"/>
      <c r="G73" s="4"/>
      <c r="H73" s="4"/>
      <c r="I73"/>
      <c r="J73"/>
      <c r="K73"/>
      <c r="L73"/>
      <c r="M73"/>
      <c r="N73"/>
      <c r="O73"/>
      <c r="P73"/>
      <c r="Q73"/>
    </row>
    <row r="74" spans="1:17">
      <c r="A74"/>
      <c r="B74"/>
      <c r="C74"/>
      <c r="D74"/>
      <c r="E74" s="4"/>
      <c r="F74" s="4"/>
      <c r="G74" s="4"/>
      <c r="H74" s="4"/>
      <c r="I74"/>
      <c r="J74"/>
      <c r="K74"/>
      <c r="L74"/>
      <c r="M74"/>
      <c r="N74"/>
      <c r="O74"/>
      <c r="P74"/>
      <c r="Q74"/>
    </row>
    <row r="75" spans="1:17">
      <c r="A75"/>
      <c r="B75"/>
      <c r="C75"/>
      <c r="D75"/>
      <c r="E75" s="4"/>
      <c r="F75" s="4"/>
      <c r="G75" s="4"/>
      <c r="H75" s="4"/>
      <c r="I75"/>
      <c r="J75"/>
      <c r="K75"/>
      <c r="L75"/>
      <c r="M75"/>
      <c r="N75"/>
      <c r="O75"/>
      <c r="P75"/>
      <c r="Q75"/>
    </row>
    <row r="76" spans="1:17">
      <c r="A76"/>
      <c r="B76"/>
      <c r="C76"/>
      <c r="D76"/>
      <c r="E76" s="4"/>
      <c r="F76" s="4"/>
      <c r="G76" s="4"/>
      <c r="H76" s="4"/>
      <c r="I76"/>
      <c r="J76"/>
      <c r="K76"/>
      <c r="L76"/>
      <c r="M76"/>
      <c r="N76"/>
      <c r="O76"/>
      <c r="P76"/>
      <c r="Q76"/>
    </row>
    <row r="77" spans="1:17">
      <c r="A77"/>
      <c r="B77"/>
      <c r="C77"/>
      <c r="D77"/>
      <c r="E77" s="4"/>
      <c r="F77" s="4"/>
      <c r="G77" s="4"/>
      <c r="H77" s="4"/>
      <c r="I77"/>
      <c r="J77"/>
      <c r="K77"/>
      <c r="L77"/>
      <c r="M77"/>
      <c r="N77"/>
      <c r="O77"/>
      <c r="P77"/>
      <c r="Q77"/>
    </row>
    <row r="78" spans="1:17">
      <c r="A78"/>
      <c r="B78"/>
      <c r="C78"/>
      <c r="D78"/>
      <c r="E78" s="4"/>
      <c r="F78" s="4"/>
      <c r="G78" s="4"/>
      <c r="H78" s="4"/>
      <c r="I78"/>
      <c r="J78"/>
      <c r="K78"/>
      <c r="L78"/>
      <c r="M78"/>
      <c r="N78"/>
      <c r="O78"/>
      <c r="P78"/>
      <c r="Q78"/>
    </row>
    <row r="79" spans="1:17">
      <c r="A79"/>
      <c r="B79"/>
      <c r="C79"/>
      <c r="D79"/>
      <c r="E79" s="4"/>
      <c r="F79" s="4"/>
      <c r="G79" s="4"/>
      <c r="H79" s="4"/>
      <c r="I79"/>
      <c r="J79"/>
      <c r="K79"/>
      <c r="L79"/>
      <c r="M79"/>
      <c r="N79"/>
      <c r="O79"/>
      <c r="P79"/>
      <c r="Q79"/>
    </row>
    <row r="80" spans="1:17">
      <c r="A80"/>
      <c r="B80"/>
      <c r="C80"/>
      <c r="D80"/>
      <c r="E80" s="4"/>
      <c r="F80" s="4"/>
      <c r="G80" s="4"/>
      <c r="H80" s="4"/>
      <c r="I80"/>
      <c r="J80"/>
      <c r="K80"/>
      <c r="L80"/>
      <c r="M80"/>
      <c r="N80"/>
      <c r="O80"/>
      <c r="P80"/>
      <c r="Q80"/>
    </row>
    <row r="81" spans="1:17">
      <c r="A81"/>
      <c r="B81"/>
      <c r="C81"/>
      <c r="D81"/>
      <c r="E81" s="4"/>
      <c r="F81" s="4"/>
      <c r="G81" s="4"/>
      <c r="H81" s="4"/>
      <c r="I81"/>
      <c r="J81"/>
      <c r="K81"/>
      <c r="L81"/>
      <c r="M81"/>
      <c r="N81"/>
      <c r="O81"/>
      <c r="P81"/>
      <c r="Q81"/>
    </row>
    <row r="82" spans="1:17">
      <c r="A82"/>
      <c r="B82"/>
      <c r="C82"/>
      <c r="D82"/>
      <c r="E82" s="4"/>
      <c r="F82" s="4"/>
      <c r="G82" s="4"/>
      <c r="H82" s="4"/>
      <c r="I82"/>
      <c r="J82"/>
      <c r="K82"/>
      <c r="L82"/>
      <c r="M82"/>
      <c r="N82"/>
      <c r="O82"/>
      <c r="P82"/>
      <c r="Q82"/>
    </row>
    <row r="83" spans="1:17">
      <c r="A83"/>
      <c r="B83"/>
      <c r="C83"/>
      <c r="D83"/>
      <c r="E83" s="4"/>
      <c r="F83" s="4"/>
      <c r="G83" s="4"/>
      <c r="H83" s="4"/>
      <c r="I83"/>
      <c r="J83"/>
      <c r="K83"/>
      <c r="L83"/>
      <c r="M83"/>
      <c r="N83"/>
      <c r="O83"/>
      <c r="P83"/>
      <c r="Q83"/>
    </row>
    <row r="84" spans="1:17">
      <c r="A84"/>
      <c r="B84"/>
      <c r="C84"/>
      <c r="D84"/>
      <c r="E84" s="4"/>
      <c r="F84" s="4"/>
      <c r="G84" s="4"/>
      <c r="H84" s="4"/>
      <c r="I84"/>
      <c r="J84"/>
      <c r="K84"/>
      <c r="L84"/>
      <c r="M84"/>
      <c r="N84"/>
      <c r="O84"/>
      <c r="P84"/>
      <c r="Q84"/>
    </row>
    <row r="85" spans="1:17">
      <c r="A85"/>
      <c r="B85"/>
      <c r="C85"/>
      <c r="D85"/>
      <c r="E85" s="4"/>
      <c r="F85" s="4"/>
      <c r="G85" s="4"/>
      <c r="H85" s="4"/>
      <c r="I85"/>
      <c r="J85"/>
      <c r="K85"/>
      <c r="L85"/>
      <c r="M85"/>
      <c r="N85"/>
      <c r="O85"/>
      <c r="P85"/>
      <c r="Q85"/>
    </row>
    <row r="86" spans="1:17">
      <c r="A86"/>
      <c r="B86"/>
      <c r="C86"/>
      <c r="D86"/>
      <c r="E86" s="4"/>
      <c r="F86" s="4"/>
      <c r="G86" s="4"/>
      <c r="H86" s="4"/>
      <c r="I86"/>
      <c r="J86"/>
      <c r="K86"/>
      <c r="L86"/>
      <c r="M86"/>
      <c r="N86"/>
      <c r="O86"/>
      <c r="P86"/>
      <c r="Q86"/>
    </row>
    <row r="87" spans="1:17">
      <c r="A87"/>
      <c r="B87"/>
      <c r="C87"/>
      <c r="D87"/>
      <c r="E87" s="4"/>
      <c r="F87" s="4"/>
      <c r="G87" s="4"/>
      <c r="H87" s="4"/>
      <c r="I87"/>
      <c r="J87"/>
      <c r="K87"/>
      <c r="L87"/>
      <c r="M87"/>
      <c r="N87"/>
      <c r="O87"/>
      <c r="P87"/>
      <c r="Q87"/>
    </row>
    <row r="88" spans="1:17">
      <c r="A88"/>
      <c r="B88"/>
      <c r="C88"/>
      <c r="D88"/>
      <c r="E88" s="4"/>
      <c r="F88" s="4"/>
      <c r="G88" s="4"/>
      <c r="H88" s="4"/>
      <c r="I88"/>
      <c r="J88"/>
      <c r="K88"/>
      <c r="L88"/>
      <c r="M88"/>
      <c r="N88"/>
      <c r="O88"/>
      <c r="P88"/>
      <c r="Q88"/>
    </row>
    <row r="89" spans="1:17">
      <c r="A89"/>
      <c r="B89"/>
      <c r="C89"/>
      <c r="D89"/>
      <c r="E89" s="4"/>
      <c r="F89" s="4"/>
      <c r="G89" s="4"/>
      <c r="H89" s="4"/>
      <c r="I89"/>
      <c r="J89"/>
      <c r="K89"/>
      <c r="L89"/>
      <c r="M89"/>
      <c r="N89"/>
      <c r="O89"/>
      <c r="P89"/>
      <c r="Q89"/>
    </row>
    <row r="90" spans="1:17">
      <c r="A90"/>
      <c r="B90"/>
      <c r="C90"/>
      <c r="D90"/>
      <c r="E90" s="4"/>
      <c r="F90" s="4"/>
      <c r="G90" s="4"/>
      <c r="H90" s="4"/>
      <c r="I90"/>
      <c r="J90"/>
      <c r="K90"/>
      <c r="L90"/>
      <c r="M90"/>
      <c r="N90"/>
      <c r="O90"/>
      <c r="P90"/>
      <c r="Q90"/>
    </row>
    <row r="91" spans="1:17">
      <c r="A91"/>
      <c r="B91"/>
      <c r="C91"/>
      <c r="D91"/>
      <c r="E91" s="4"/>
      <c r="F91" s="4"/>
      <c r="G91" s="4"/>
      <c r="H91" s="4"/>
      <c r="I91"/>
      <c r="J91"/>
      <c r="K91"/>
      <c r="L91"/>
      <c r="M91"/>
      <c r="N91"/>
      <c r="O91"/>
      <c r="P91"/>
      <c r="Q91"/>
    </row>
    <row r="92" spans="1:17">
      <c r="A92"/>
      <c r="B92"/>
      <c r="C92"/>
      <c r="D92"/>
      <c r="E92" s="4"/>
      <c r="F92" s="4"/>
      <c r="G92" s="4"/>
      <c r="H92" s="4"/>
      <c r="I92"/>
      <c r="J92"/>
      <c r="K92"/>
      <c r="L92"/>
      <c r="M92"/>
      <c r="N92"/>
      <c r="O92"/>
      <c r="P92"/>
      <c r="Q92"/>
    </row>
    <row r="93" spans="1:17">
      <c r="A93"/>
      <c r="B93"/>
      <c r="C93"/>
      <c r="D93"/>
      <c r="E93" s="4"/>
      <c r="F93" s="4"/>
      <c r="G93" s="4"/>
      <c r="H93" s="4"/>
      <c r="I93"/>
      <c r="J93"/>
      <c r="K93"/>
      <c r="L93"/>
      <c r="M93"/>
      <c r="N93"/>
      <c r="O93"/>
      <c r="P93"/>
      <c r="Q93"/>
    </row>
    <row r="94" spans="1:17">
      <c r="A94"/>
      <c r="B94"/>
      <c r="C94"/>
      <c r="D94"/>
      <c r="E94" s="4"/>
      <c r="F94" s="4"/>
      <c r="G94" s="4"/>
      <c r="H94" s="4"/>
      <c r="I94"/>
      <c r="J94"/>
      <c r="K94"/>
      <c r="L94"/>
      <c r="M94"/>
      <c r="N94"/>
      <c r="O94"/>
      <c r="P94"/>
      <c r="Q94"/>
    </row>
    <row r="95" spans="1:17">
      <c r="A95"/>
      <c r="B95"/>
      <c r="C95"/>
      <c r="D95"/>
      <c r="E95" s="4"/>
      <c r="F95" s="4"/>
      <c r="G95" s="4"/>
      <c r="H95" s="4"/>
      <c r="I95"/>
      <c r="J95"/>
      <c r="K95"/>
      <c r="L95"/>
      <c r="M95"/>
      <c r="N95"/>
      <c r="O95"/>
      <c r="P95"/>
      <c r="Q95"/>
    </row>
    <row r="96" spans="1:1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</sheetData>
  <sheetProtection algorithmName="SHA-512" hashValue="okDH3IQUyQbmUiDAW/8XgpNPbXNeUGoFtocpQIHTXmVm/L2SXlSQKiOl1vpsSyfKMy3PYHSg30lWV8c2PXdU/A==" saltValue="X4GgB8WnLu7rV5NKUK5/hQ==" spinCount="100000" sheet="1" objects="1" scenarios="1" formatCells="0" formatColumns="0" formatRows="0" sort="0" autoFilter="0"/>
  <mergeCells count="50">
    <mergeCell ref="C14:D14"/>
    <mergeCell ref="C15:D15"/>
    <mergeCell ref="C16:D16"/>
    <mergeCell ref="C17:D17"/>
    <mergeCell ref="B19:D19"/>
    <mergeCell ref="C20:D20"/>
    <mergeCell ref="C21:D21"/>
    <mergeCell ref="C22:D22"/>
    <mergeCell ref="B24:D24"/>
    <mergeCell ref="C25:D25"/>
    <mergeCell ref="C8:H8"/>
    <mergeCell ref="E9:H9"/>
    <mergeCell ref="F11:H11"/>
    <mergeCell ref="G12:H12"/>
    <mergeCell ref="G13:H13"/>
    <mergeCell ref="A9:D9"/>
    <mergeCell ref="B11:D11"/>
    <mergeCell ref="C12:D12"/>
    <mergeCell ref="C13:D13"/>
    <mergeCell ref="A1:H1"/>
    <mergeCell ref="A3:H3"/>
    <mergeCell ref="B5:H5"/>
    <mergeCell ref="C6:H6"/>
    <mergeCell ref="C7:H7"/>
    <mergeCell ref="A2:H2"/>
    <mergeCell ref="G14:H14"/>
    <mergeCell ref="G15:H15"/>
    <mergeCell ref="G16:H16"/>
    <mergeCell ref="G17:H17"/>
    <mergeCell ref="F19:H19"/>
    <mergeCell ref="G20:H20"/>
    <mergeCell ref="G21:H21"/>
    <mergeCell ref="G22:H22"/>
    <mergeCell ref="F24:H24"/>
    <mergeCell ref="G25:H25"/>
    <mergeCell ref="F33:H33"/>
    <mergeCell ref="G34:H34"/>
    <mergeCell ref="B47:H47"/>
    <mergeCell ref="G26:H26"/>
    <mergeCell ref="G27:H27"/>
    <mergeCell ref="F29:H29"/>
    <mergeCell ref="G30:H30"/>
    <mergeCell ref="G31:H31"/>
    <mergeCell ref="B33:D33"/>
    <mergeCell ref="C34:D34"/>
    <mergeCell ref="C27:D27"/>
    <mergeCell ref="B29:D29"/>
    <mergeCell ref="C30:D30"/>
    <mergeCell ref="C31:D31"/>
    <mergeCell ref="C26:D2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1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BZ98"/>
  <sheetViews>
    <sheetView showGridLines="0" tabSelected="1" zoomScale="95" zoomScaleNormal="100" workbookViewId="0">
      <selection activeCell="AP24" sqref="AP22:AP24"/>
    </sheetView>
  </sheetViews>
  <sheetFormatPr defaultColWidth="9" defaultRowHeight="18.75"/>
  <cols>
    <col min="1" max="1" width="3.375" style="61" customWidth="1"/>
    <col min="2" max="3" width="3" style="61" customWidth="1"/>
    <col min="4" max="4" width="10.375" style="61" customWidth="1"/>
    <col min="5" max="5" width="3" style="61" customWidth="1"/>
    <col min="6" max="6" width="4.625" style="61" customWidth="1"/>
    <col min="7" max="7" width="3.25" style="61" customWidth="1"/>
    <col min="8" max="15" width="3" style="61" customWidth="1"/>
    <col min="16" max="16" width="2.375" style="61" customWidth="1"/>
    <col min="17" max="17" width="3.25" style="61" customWidth="1"/>
    <col min="18" max="18" width="3.625" style="61" customWidth="1"/>
    <col min="19" max="21" width="2.375" style="61" customWidth="1"/>
    <col min="22" max="22" width="4" style="61" customWidth="1"/>
    <col min="23" max="25" width="2.375" style="61" customWidth="1"/>
    <col min="26" max="26" width="1.375" style="61" customWidth="1"/>
    <col min="27" max="27" width="4.375" style="61" customWidth="1"/>
    <col min="28" max="30" width="2.375" style="61" customWidth="1"/>
    <col min="31" max="31" width="16.125" style="61" customWidth="1"/>
    <col min="32" max="16384" width="9" style="61"/>
  </cols>
  <sheetData>
    <row r="1" spans="1:78">
      <c r="A1" s="5"/>
      <c r="B1" s="5"/>
      <c r="C1" s="5"/>
      <c r="D1" s="5"/>
      <c r="E1" s="5"/>
      <c r="F1" s="5"/>
      <c r="G1" s="5"/>
      <c r="H1" s="83" t="s">
        <v>79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95"/>
      <c r="Y1" s="90" t="s">
        <v>80</v>
      </c>
      <c r="Z1" s="91"/>
      <c r="AA1" s="91"/>
      <c r="AB1" s="91"/>
      <c r="AC1" s="91"/>
      <c r="AD1" s="91"/>
      <c r="AE1" s="92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</row>
    <row r="2" spans="1:78">
      <c r="A2" s="5"/>
      <c r="B2" s="5"/>
      <c r="C2" s="5"/>
      <c r="D2" s="5"/>
      <c r="E2" s="5"/>
      <c r="F2" s="5"/>
      <c r="G2" s="5"/>
      <c r="H2" s="83" t="s">
        <v>81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95"/>
      <c r="Y2" s="63" t="s">
        <v>82</v>
      </c>
      <c r="Z2" s="64"/>
      <c r="AA2" s="64"/>
      <c r="AB2" s="64"/>
      <c r="AC2" s="93">
        <f ca="1">+TODAY()</f>
        <v>46292</v>
      </c>
      <c r="AD2" s="93"/>
      <c r="AE2" s="94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spans="1:78" ht="26.25">
      <c r="A3" s="83" t="s">
        <v>83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5"/>
      <c r="AG3" s="65" t="s">
        <v>84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</row>
    <row r="4" spans="1:78">
      <c r="A4" s="83" t="s">
        <v>85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 spans="1:78" ht="4.5" customHeight="1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 spans="1:78">
      <c r="A6" s="37" t="s">
        <v>86</v>
      </c>
      <c r="B6" s="5"/>
      <c r="C6" s="5"/>
      <c r="D6" s="5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82" t="s">
        <v>87</v>
      </c>
      <c r="U6" s="82"/>
      <c r="V6" s="82"/>
      <c r="W6" s="82"/>
      <c r="X6" s="88"/>
      <c r="Y6" s="88"/>
      <c r="Z6" s="88"/>
      <c r="AA6" s="88"/>
      <c r="AB6" s="88"/>
      <c r="AC6" s="88"/>
      <c r="AD6" s="88"/>
      <c r="AE6" s="88"/>
      <c r="AF6" s="66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 spans="1:78">
      <c r="A7" s="5" t="s">
        <v>88</v>
      </c>
      <c r="B7" s="5"/>
      <c r="C7" s="5"/>
      <c r="D7" s="5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82" t="s">
        <v>89</v>
      </c>
      <c r="U7" s="82"/>
      <c r="V7" s="82"/>
      <c r="W7" s="82"/>
      <c r="X7" s="88"/>
      <c r="Y7" s="88"/>
      <c r="Z7" s="88"/>
      <c r="AA7" s="88"/>
      <c r="AB7" s="88"/>
      <c r="AC7" s="88"/>
      <c r="AD7" s="88"/>
      <c r="AE7" s="88"/>
      <c r="AF7" s="5"/>
      <c r="AG7" s="5" t="s">
        <v>90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 spans="1:78" ht="4.5" customHeight="1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</row>
    <row r="9" spans="1:78">
      <c r="A9" s="86" t="s">
        <v>91</v>
      </c>
      <c r="B9" s="86"/>
      <c r="C9" s="86"/>
      <c r="D9" s="86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6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 spans="1:78">
      <c r="A10" s="5" t="s">
        <v>92</v>
      </c>
      <c r="B10" s="5"/>
      <c r="C10" s="5"/>
      <c r="D10" s="5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6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 spans="1:78" ht="4.5" customHeight="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6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 spans="1:7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38" t="s">
        <v>93</v>
      </c>
      <c r="P12" s="89">
        <f ca="1">+DAY(AC2)</f>
        <v>27</v>
      </c>
      <c r="Q12" s="89"/>
      <c r="R12" s="82" t="s">
        <v>94</v>
      </c>
      <c r="S12" s="82"/>
      <c r="T12" s="89" t="str">
        <f ca="1">+TEXT(AC2,"[$-409]mmmm")</f>
        <v>September</v>
      </c>
      <c r="U12" s="89"/>
      <c r="V12" s="89"/>
      <c r="W12" s="89"/>
      <c r="X12" s="89"/>
      <c r="Y12" s="89"/>
      <c r="Z12" s="89"/>
      <c r="AA12" s="89"/>
      <c r="AB12" s="82" t="s">
        <v>95</v>
      </c>
      <c r="AC12" s="82"/>
      <c r="AD12" s="89">
        <f ca="1">YEAR(AC2)</f>
        <v>2026</v>
      </c>
      <c r="AE12" s="89"/>
      <c r="AF12" s="66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 spans="1:7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8" t="s">
        <v>96</v>
      </c>
      <c r="P13" s="89"/>
      <c r="Q13" s="89"/>
      <c r="R13" s="82" t="s">
        <v>97</v>
      </c>
      <c r="S13" s="82"/>
      <c r="T13" s="89"/>
      <c r="U13" s="89"/>
      <c r="V13" s="89"/>
      <c r="W13" s="89"/>
      <c r="X13" s="89"/>
      <c r="Y13" s="89"/>
      <c r="Z13" s="89"/>
      <c r="AA13" s="89"/>
      <c r="AB13" s="82" t="s">
        <v>98</v>
      </c>
      <c r="AC13" s="82"/>
      <c r="AD13" s="89"/>
      <c r="AE13" s="89"/>
      <c r="AF13" s="66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 spans="1:78" ht="4.5" customHeight="1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 spans="1:78">
      <c r="A15" s="5" t="s">
        <v>99</v>
      </c>
      <c r="B15" s="5"/>
      <c r="C15" s="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2" t="s">
        <v>100</v>
      </c>
      <c r="T15" s="82"/>
      <c r="U15" s="82"/>
      <c r="V15" s="82"/>
      <c r="W15" s="85"/>
      <c r="X15" s="85"/>
      <c r="Y15" s="85"/>
      <c r="Z15" s="85"/>
      <c r="AA15" s="85"/>
      <c r="AB15" s="85"/>
      <c r="AC15" s="85"/>
      <c r="AD15" s="85"/>
      <c r="AE15" s="8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 spans="1:78" ht="16.5" customHeight="1">
      <c r="A16" s="5" t="s">
        <v>101</v>
      </c>
      <c r="B16" s="5"/>
      <c r="C16" s="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2" t="s">
        <v>102</v>
      </c>
      <c r="T16" s="82"/>
      <c r="U16" s="82"/>
      <c r="V16" s="82"/>
      <c r="W16" s="85"/>
      <c r="X16" s="85"/>
      <c r="Y16" s="85"/>
      <c r="Z16" s="85"/>
      <c r="AA16" s="85"/>
      <c r="AB16" s="85"/>
      <c r="AC16" s="85"/>
      <c r="AD16" s="85"/>
      <c r="AE16" s="8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 spans="1:78" ht="4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1:78">
      <c r="A18" s="5" t="s">
        <v>103</v>
      </c>
      <c r="B18" s="5"/>
      <c r="C18" s="5"/>
      <c r="D18" s="5"/>
      <c r="E18" s="5"/>
      <c r="F18" s="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1:78">
      <c r="A19" s="5" t="s">
        <v>104</v>
      </c>
      <c r="B19" s="67"/>
      <c r="C19" s="67"/>
      <c r="D19" s="67"/>
      <c r="E19" s="67"/>
      <c r="F19" s="67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spans="1:78" ht="4.5" customHeight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>
      <c r="A21" s="5" t="s">
        <v>105</v>
      </c>
      <c r="B21" s="5"/>
      <c r="C21" s="5"/>
      <c r="D21" s="5"/>
      <c r="E21" s="5"/>
      <c r="F21" s="5"/>
      <c r="G21" s="87"/>
      <c r="H21" s="87"/>
      <c r="I21" s="87"/>
      <c r="J21" s="87"/>
      <c r="K21" s="87"/>
      <c r="L21" s="87"/>
      <c r="M21" s="87"/>
      <c r="N21" s="87"/>
      <c r="O21" s="68" t="s">
        <v>106</v>
      </c>
      <c r="P21" s="87"/>
      <c r="Q21" s="87"/>
      <c r="R21" s="87"/>
      <c r="S21" s="87"/>
      <c r="T21" s="87"/>
      <c r="U21" s="87"/>
      <c r="V21" s="87"/>
      <c r="W21" s="87"/>
      <c r="X21" s="87"/>
      <c r="Y21" s="82" t="s">
        <v>107</v>
      </c>
      <c r="Z21" s="82"/>
      <c r="AA21" s="88"/>
      <c r="AB21" s="88"/>
      <c r="AC21" s="88"/>
      <c r="AD21" s="88"/>
      <c r="AE21" s="88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>
      <c r="A22" s="37" t="s">
        <v>108</v>
      </c>
      <c r="B22" s="37"/>
      <c r="C22" s="37"/>
      <c r="D22" s="37"/>
      <c r="E22" s="37"/>
      <c r="F22" s="37"/>
      <c r="G22" s="87"/>
      <c r="H22" s="87"/>
      <c r="I22" s="87"/>
      <c r="J22" s="87"/>
      <c r="K22" s="87"/>
      <c r="L22" s="87"/>
      <c r="M22" s="87"/>
      <c r="N22" s="87"/>
      <c r="O22" s="68" t="s">
        <v>109</v>
      </c>
      <c r="P22" s="87"/>
      <c r="Q22" s="87"/>
      <c r="R22" s="87"/>
      <c r="S22" s="87"/>
      <c r="T22" s="87"/>
      <c r="U22" s="87"/>
      <c r="V22" s="87"/>
      <c r="W22" s="87"/>
      <c r="X22" s="87"/>
      <c r="Y22" s="82" t="s">
        <v>110</v>
      </c>
      <c r="Z22" s="82"/>
      <c r="AA22" s="88"/>
      <c r="AB22" s="88"/>
      <c r="AC22" s="88"/>
      <c r="AD22" s="88"/>
      <c r="AE22" s="88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ht="4.5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69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spans="1:78">
      <c r="A24" s="5" t="s">
        <v>111</v>
      </c>
      <c r="B24" s="5"/>
      <c r="C24" s="5"/>
      <c r="D24" s="5"/>
      <c r="E24" s="5"/>
      <c r="F24" s="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spans="1:78">
      <c r="A25" s="5" t="s">
        <v>112</v>
      </c>
      <c r="B25" s="5"/>
      <c r="C25" s="5"/>
      <c r="D25" s="5"/>
      <c r="E25" s="5"/>
      <c r="F25" s="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spans="1:78" ht="4.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>
      <c r="A27" s="5" t="s">
        <v>113</v>
      </c>
      <c r="B27" s="5"/>
      <c r="C27" s="5"/>
      <c r="D27" s="5"/>
      <c r="E27" s="5"/>
      <c r="F27" s="5"/>
      <c r="G27" s="126"/>
      <c r="H27" s="126"/>
      <c r="I27" s="126"/>
      <c r="J27" s="126"/>
      <c r="K27" s="126"/>
      <c r="L27" s="126"/>
      <c r="M27" s="126"/>
      <c r="N27" s="70" t="s">
        <v>114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spans="1:78">
      <c r="A28" s="5" t="s">
        <v>115</v>
      </c>
      <c r="B28" s="5"/>
      <c r="C28" s="5"/>
      <c r="D28" s="5"/>
      <c r="E28" s="5"/>
      <c r="F28" s="5"/>
      <c r="G28" s="126"/>
      <c r="H28" s="126"/>
      <c r="I28" s="126"/>
      <c r="J28" s="126"/>
      <c r="K28" s="126"/>
      <c r="L28" s="126"/>
      <c r="M28" s="126"/>
      <c r="N28" s="70" t="s">
        <v>116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spans="1:78" ht="4.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spans="1:78">
      <c r="A30" s="5" t="s">
        <v>117</v>
      </c>
      <c r="B30" s="5"/>
      <c r="C30" s="5"/>
      <c r="D30" s="5"/>
      <c r="E30" s="5"/>
      <c r="F30" s="5"/>
      <c r="G30" s="127">
        <f>+P21+10</f>
        <v>10</v>
      </c>
      <c r="H30" s="127"/>
      <c r="I30" s="127"/>
      <c r="J30" s="127"/>
      <c r="K30" s="127"/>
      <c r="L30" s="127"/>
      <c r="M30" s="127"/>
      <c r="N30" s="71" t="s">
        <v>118</v>
      </c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spans="1:78">
      <c r="A31" s="5" t="s">
        <v>119</v>
      </c>
      <c r="B31" s="5"/>
      <c r="C31" s="5"/>
      <c r="D31" s="5"/>
      <c r="E31" s="5"/>
      <c r="F31" s="5"/>
      <c r="G31" s="127"/>
      <c r="H31" s="127"/>
      <c r="I31" s="127"/>
      <c r="J31" s="127"/>
      <c r="K31" s="127"/>
      <c r="L31" s="127"/>
      <c r="M31" s="127"/>
      <c r="N31" s="71" t="s">
        <v>120</v>
      </c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spans="1:7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70" t="s">
        <v>121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spans="1:78">
      <c r="A33" s="5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spans="1:78" ht="4.5" customHeight="1" thickBo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spans="1:78">
      <c r="A35" s="73" t="s">
        <v>123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spans="1:78" ht="4.5" customHeight="1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spans="1:78">
      <c r="A37" s="128" t="s">
        <v>124</v>
      </c>
      <c r="B37" s="129"/>
      <c r="C37" s="129"/>
      <c r="D37" s="130"/>
      <c r="E37" s="128" t="s">
        <v>125</v>
      </c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30"/>
      <c r="AB37" s="128" t="s">
        <v>126</v>
      </c>
      <c r="AC37" s="129"/>
      <c r="AD37" s="129"/>
      <c r="AE37" s="130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spans="1:78">
      <c r="A38" s="123" t="s">
        <v>127</v>
      </c>
      <c r="B38" s="124"/>
      <c r="C38" s="124"/>
      <c r="D38" s="125"/>
      <c r="E38" s="123" t="s">
        <v>128</v>
      </c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5"/>
      <c r="AB38" s="123" t="s">
        <v>129</v>
      </c>
      <c r="AC38" s="124"/>
      <c r="AD38" s="124"/>
      <c r="AE38" s="12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spans="1:78">
      <c r="A39" s="157" t="s">
        <v>58</v>
      </c>
      <c r="B39" s="158"/>
      <c r="C39" s="158"/>
      <c r="D39" s="159"/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3"/>
      <c r="AB39" s="139"/>
      <c r="AC39" s="140"/>
      <c r="AD39" s="140"/>
      <c r="AE39" s="141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spans="1:78">
      <c r="A40" s="148" t="s">
        <v>59</v>
      </c>
      <c r="B40" s="149"/>
      <c r="C40" s="149"/>
      <c r="D40" s="150"/>
      <c r="E40" s="154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6"/>
      <c r="AB40" s="142"/>
      <c r="AC40" s="143"/>
      <c r="AD40" s="143"/>
      <c r="AE40" s="144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spans="1:78">
      <c r="A41" s="160" t="s">
        <v>130</v>
      </c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2"/>
      <c r="AB41" s="145"/>
      <c r="AC41" s="146"/>
      <c r="AD41" s="146"/>
      <c r="AE41" s="147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spans="1:78">
      <c r="A42" s="131" t="s">
        <v>131</v>
      </c>
      <c r="B42" s="132"/>
      <c r="C42" s="132"/>
      <c r="D42" s="133"/>
      <c r="E42" s="108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10"/>
      <c r="AB42" s="114"/>
      <c r="AC42" s="114"/>
      <c r="AD42" s="114"/>
      <c r="AE42" s="11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spans="1:78">
      <c r="A43" s="134" t="s">
        <v>132</v>
      </c>
      <c r="B43" s="135"/>
      <c r="C43" s="135"/>
      <c r="D43" s="136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3"/>
      <c r="AB43" s="116"/>
      <c r="AC43" s="116"/>
      <c r="AD43" s="116"/>
      <c r="AE43" s="117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spans="1:78">
      <c r="A44" s="131" t="s">
        <v>133</v>
      </c>
      <c r="B44" s="132"/>
      <c r="C44" s="132"/>
      <c r="D44" s="133"/>
      <c r="E44" s="108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10"/>
      <c r="AB44" s="114"/>
      <c r="AC44" s="114"/>
      <c r="AD44" s="114"/>
      <c r="AE44" s="11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spans="1:78">
      <c r="A45" s="134" t="s">
        <v>134</v>
      </c>
      <c r="B45" s="135"/>
      <c r="C45" s="135"/>
      <c r="D45" s="136"/>
      <c r="E45" s="111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3"/>
      <c r="AB45" s="116"/>
      <c r="AC45" s="116"/>
      <c r="AD45" s="116"/>
      <c r="AE45" s="117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spans="1:78">
      <c r="A46" s="131" t="s">
        <v>135</v>
      </c>
      <c r="B46" s="132"/>
      <c r="C46" s="132"/>
      <c r="D46" s="133"/>
      <c r="E46" s="108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10"/>
      <c r="AB46" s="114"/>
      <c r="AC46" s="114"/>
      <c r="AD46" s="114"/>
      <c r="AE46" s="11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spans="1:78">
      <c r="A47" s="134" t="s">
        <v>77</v>
      </c>
      <c r="B47" s="135"/>
      <c r="C47" s="135"/>
      <c r="D47" s="136"/>
      <c r="E47" s="111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3"/>
      <c r="AB47" s="116"/>
      <c r="AC47" s="116"/>
      <c r="AD47" s="116"/>
      <c r="AE47" s="117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spans="1:78">
      <c r="A48" s="131" t="s">
        <v>136</v>
      </c>
      <c r="B48" s="132"/>
      <c r="C48" s="132"/>
      <c r="D48" s="133"/>
      <c r="E48" s="108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10"/>
      <c r="AB48" s="114"/>
      <c r="AC48" s="114"/>
      <c r="AD48" s="114"/>
      <c r="AE48" s="11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spans="1:78">
      <c r="A49" s="134" t="s">
        <v>137</v>
      </c>
      <c r="B49" s="135"/>
      <c r="C49" s="135"/>
      <c r="D49" s="136"/>
      <c r="E49" s="111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3"/>
      <c r="AB49" s="116"/>
      <c r="AC49" s="116"/>
      <c r="AD49" s="116"/>
      <c r="AE49" s="117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spans="1:78">
      <c r="A50" s="131" t="s">
        <v>138</v>
      </c>
      <c r="B50" s="132"/>
      <c r="C50" s="132"/>
      <c r="D50" s="133"/>
      <c r="E50" s="108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10"/>
      <c r="AB50" s="114"/>
      <c r="AC50" s="114"/>
      <c r="AD50" s="114"/>
      <c r="AE50" s="11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spans="1:78">
      <c r="A51" s="134" t="s">
        <v>139</v>
      </c>
      <c r="B51" s="135"/>
      <c r="C51" s="135"/>
      <c r="D51" s="136"/>
      <c r="E51" s="111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3"/>
      <c r="AB51" s="116"/>
      <c r="AC51" s="116"/>
      <c r="AD51" s="116"/>
      <c r="AE51" s="117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spans="1:78">
      <c r="A52" s="131" t="s">
        <v>140</v>
      </c>
      <c r="B52" s="132"/>
      <c r="C52" s="132"/>
      <c r="D52" s="133"/>
      <c r="E52" s="105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7"/>
      <c r="AB52" s="120"/>
      <c r="AC52" s="121"/>
      <c r="AD52" s="121"/>
      <c r="AE52" s="122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spans="1:78">
      <c r="A53" s="148" t="s">
        <v>141</v>
      </c>
      <c r="B53" s="149"/>
      <c r="C53" s="149"/>
      <c r="D53" s="150"/>
      <c r="E53" s="105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7"/>
      <c r="AB53" s="120"/>
      <c r="AC53" s="121"/>
      <c r="AD53" s="121"/>
      <c r="AE53" s="122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spans="1:78">
      <c r="A54" s="163"/>
      <c r="B54" s="164"/>
      <c r="C54" s="164"/>
      <c r="D54" s="165"/>
      <c r="E54" s="105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7"/>
      <c r="AB54" s="120"/>
      <c r="AC54" s="121"/>
      <c r="AD54" s="121"/>
      <c r="AE54" s="122"/>
      <c r="AF54" s="5"/>
      <c r="AG54" s="79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spans="1:78">
      <c r="A55" s="103" t="s">
        <v>142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4"/>
      <c r="AB55" s="97">
        <f>SUM(AB39:AE54)</f>
        <v>0</v>
      </c>
      <c r="AC55" s="98"/>
      <c r="AD55" s="98"/>
      <c r="AE55" s="99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spans="1:78" ht="19.5" thickBot="1">
      <c r="A56" s="118" t="s">
        <v>143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9"/>
      <c r="AB56" s="100"/>
      <c r="AC56" s="101"/>
      <c r="AD56" s="101"/>
      <c r="AE56" s="102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spans="1:78" ht="19.5" thickTop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spans="1:78">
      <c r="A58" s="137" t="s">
        <v>144</v>
      </c>
      <c r="B58" s="137"/>
      <c r="C58" s="137"/>
      <c r="D58" s="41"/>
      <c r="E58" s="41"/>
      <c r="F58" s="41"/>
      <c r="G58" s="41"/>
      <c r="H58" s="41"/>
      <c r="I58" s="41"/>
      <c r="J58" s="41"/>
      <c r="K58" s="41"/>
      <c r="L58" s="5" t="s">
        <v>145</v>
      </c>
      <c r="M58" s="5"/>
      <c r="N58" s="5"/>
      <c r="O58" s="5"/>
      <c r="P58" s="5"/>
      <c r="Q58" s="137" t="s">
        <v>144</v>
      </c>
      <c r="R58" s="137"/>
      <c r="S58" s="137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5" t="s">
        <v>146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spans="1:78">
      <c r="A59" s="137" t="s">
        <v>147</v>
      </c>
      <c r="B59" s="137"/>
      <c r="C59" s="137"/>
      <c r="D59" s="138" t="s">
        <v>148</v>
      </c>
      <c r="E59" s="138"/>
      <c r="F59" s="138"/>
      <c r="G59" s="138"/>
      <c r="H59" s="138"/>
      <c r="I59" s="138"/>
      <c r="J59" s="138"/>
      <c r="K59" s="138"/>
      <c r="L59" s="5" t="s">
        <v>149</v>
      </c>
      <c r="M59" s="5"/>
      <c r="N59" s="5"/>
      <c r="O59" s="5"/>
      <c r="P59" s="5"/>
      <c r="Q59" s="137" t="s">
        <v>147</v>
      </c>
      <c r="R59" s="137"/>
      <c r="S59" s="137"/>
      <c r="T59" s="166" t="s">
        <v>150</v>
      </c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5" t="s">
        <v>151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spans="1:78" ht="9.75" customHeight="1">
      <c r="A60" s="38"/>
      <c r="B60" s="38"/>
      <c r="C60" s="38"/>
      <c r="D60" s="3"/>
      <c r="E60" s="3"/>
      <c r="F60" s="3"/>
      <c r="G60" s="3"/>
      <c r="H60" s="3"/>
      <c r="I60" s="3"/>
      <c r="J60" s="3"/>
      <c r="K60" s="3"/>
      <c r="L60" s="5"/>
      <c r="M60" s="5"/>
      <c r="N60" s="5"/>
      <c r="O60" s="5"/>
      <c r="P60" s="38"/>
      <c r="Q60" s="38"/>
      <c r="R60" s="38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spans="1:78" ht="9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spans="1:78">
      <c r="A62" s="137" t="s">
        <v>144</v>
      </c>
      <c r="B62" s="137"/>
      <c r="C62" s="137"/>
      <c r="D62" s="112"/>
      <c r="E62" s="112"/>
      <c r="F62" s="112"/>
      <c r="G62" s="112"/>
      <c r="H62" s="112"/>
      <c r="I62" s="112"/>
      <c r="J62" s="112"/>
      <c r="K62" s="112"/>
      <c r="L62" s="5" t="s">
        <v>152</v>
      </c>
      <c r="M62" s="5"/>
      <c r="N62" s="5"/>
      <c r="O62" s="5"/>
      <c r="P62" s="5"/>
      <c r="Q62" s="137" t="s">
        <v>144</v>
      </c>
      <c r="R62" s="137"/>
      <c r="S62" s="137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5" t="s">
        <v>153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spans="1:78">
      <c r="A63" s="137" t="s">
        <v>147</v>
      </c>
      <c r="B63" s="137"/>
      <c r="C63" s="137"/>
      <c r="D63" s="82" t="str">
        <f>"("&amp;D15&amp;")"</f>
        <v>()</v>
      </c>
      <c r="E63" s="82"/>
      <c r="F63" s="82"/>
      <c r="G63" s="82"/>
      <c r="H63" s="82"/>
      <c r="I63" s="82"/>
      <c r="J63" s="82"/>
      <c r="K63" s="82"/>
      <c r="L63" s="5" t="s">
        <v>154</v>
      </c>
      <c r="M63" s="5"/>
      <c r="N63" s="5"/>
      <c r="O63" s="5"/>
      <c r="P63" s="5"/>
      <c r="Q63" s="137" t="s">
        <v>147</v>
      </c>
      <c r="R63" s="137"/>
      <c r="S63" s="137"/>
      <c r="T63" s="138" t="s">
        <v>155</v>
      </c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5" t="s">
        <v>156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spans="1:78" ht="10.5" customHeight="1" thickBo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spans="1:78" ht="19.5" thickTop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 t="s">
        <v>148</v>
      </c>
      <c r="AW65" s="5"/>
      <c r="AX65" s="5"/>
      <c r="AY65" s="5"/>
      <c r="AZ65" s="5" t="s">
        <v>155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spans="1:78" ht="30.75">
      <c r="A66" s="5"/>
      <c r="B66" s="81" t="s">
        <v>157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 t="s">
        <v>158</v>
      </c>
      <c r="AW66" s="5"/>
      <c r="AX66" s="5"/>
      <c r="AY66" s="5"/>
      <c r="AZ66" s="5" t="s">
        <v>159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spans="1:7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 t="s">
        <v>160</v>
      </c>
      <c r="AW67" s="5"/>
      <c r="AX67" s="5"/>
      <c r="AY67" s="5"/>
      <c r="AZ67" s="5" t="s">
        <v>161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spans="1:7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 t="s">
        <v>162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spans="1:7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 t="s">
        <v>163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spans="1:7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 t="s">
        <v>164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spans="1:7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 t="s">
        <v>165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spans="1:7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 t="s">
        <v>166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 spans="1:7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 t="s">
        <v>167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 spans="1:7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 t="s">
        <v>168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 spans="1:7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 t="s">
        <v>169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 spans="1:7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 t="s">
        <v>170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 spans="1:7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 t="s">
        <v>171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</row>
    <row r="78" spans="1: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 t="s">
        <v>172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 spans="1:7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 t="s">
        <v>150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spans="1:7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 t="s">
        <v>173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spans="1:7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 t="s">
        <v>174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spans="1:7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spans="1:7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spans="1:7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spans="1:7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spans="1:7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spans="1:7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spans="1:7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spans="1:7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spans="1:7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spans="1:7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spans="1:7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spans="1:7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spans="1:7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spans="1:7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spans="1:7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spans="1:7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spans="1:7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</sheetData>
  <sheetProtection algorithmName="SHA-512" hashValue="BiMp7xcfy9ykZ0e6f0LxwdVrijTrNjc2nLltSA3FMpFKpcDqMiogwiGv5Bf/fN7onm7OkHZVgquYtjF2ZCNJhQ==" saltValue="S3uXKYaLZ1USypS9ddHLfA==" spinCount="100000" sheet="1" scenarios="1"/>
  <mergeCells count="98">
    <mergeCell ref="D63:K63"/>
    <mergeCell ref="A59:C59"/>
    <mergeCell ref="Q63:S63"/>
    <mergeCell ref="A63:C63"/>
    <mergeCell ref="AB46:AE47"/>
    <mergeCell ref="D62:K62"/>
    <mergeCell ref="Q58:S58"/>
    <mergeCell ref="A54:D54"/>
    <mergeCell ref="A53:D53"/>
    <mergeCell ref="A52:D52"/>
    <mergeCell ref="T59:AD59"/>
    <mergeCell ref="A48:D48"/>
    <mergeCell ref="T63:AD63"/>
    <mergeCell ref="AB48:AE49"/>
    <mergeCell ref="E46:AA47"/>
    <mergeCell ref="A49:D49"/>
    <mergeCell ref="E44:AA45"/>
    <mergeCell ref="AB44:AE45"/>
    <mergeCell ref="A40:D40"/>
    <mergeCell ref="E39:AA40"/>
    <mergeCell ref="A39:D39"/>
    <mergeCell ref="A42:D42"/>
    <mergeCell ref="A43:D43"/>
    <mergeCell ref="A44:D44"/>
    <mergeCell ref="A41:AA41"/>
    <mergeCell ref="E42:AA43"/>
    <mergeCell ref="A45:D45"/>
    <mergeCell ref="A46:D46"/>
    <mergeCell ref="A47:D47"/>
    <mergeCell ref="A62:C62"/>
    <mergeCell ref="A37:D37"/>
    <mergeCell ref="A61:AE61"/>
    <mergeCell ref="D59:K59"/>
    <mergeCell ref="A58:C58"/>
    <mergeCell ref="Q59:S59"/>
    <mergeCell ref="Q62:S62"/>
    <mergeCell ref="E37:AA37"/>
    <mergeCell ref="A50:D50"/>
    <mergeCell ref="A51:D51"/>
    <mergeCell ref="E52:AA52"/>
    <mergeCell ref="AB42:AE43"/>
    <mergeCell ref="E48:AA49"/>
    <mergeCell ref="AB39:AE41"/>
    <mergeCell ref="A38:D38"/>
    <mergeCell ref="E38:AA38"/>
    <mergeCell ref="G27:M28"/>
    <mergeCell ref="G30:M31"/>
    <mergeCell ref="AB38:AE38"/>
    <mergeCell ref="AB37:AE37"/>
    <mergeCell ref="AB55:AE56"/>
    <mergeCell ref="A55:AA55"/>
    <mergeCell ref="E53:AA53"/>
    <mergeCell ref="E50:AA51"/>
    <mergeCell ref="AB50:AE51"/>
    <mergeCell ref="A56:AA56"/>
    <mergeCell ref="E54:AA54"/>
    <mergeCell ref="AB52:AE52"/>
    <mergeCell ref="AB53:AE53"/>
    <mergeCell ref="AB54:AE54"/>
    <mergeCell ref="Y1:AA1"/>
    <mergeCell ref="AB1:AE1"/>
    <mergeCell ref="AC2:AE2"/>
    <mergeCell ref="A3:AE3"/>
    <mergeCell ref="T6:W6"/>
    <mergeCell ref="H2:X2"/>
    <mergeCell ref="H1:X1"/>
    <mergeCell ref="E6:S7"/>
    <mergeCell ref="X6:AE7"/>
    <mergeCell ref="A23:AE23"/>
    <mergeCell ref="A26:AE26"/>
    <mergeCell ref="A29:AE29"/>
    <mergeCell ref="AB12:AC12"/>
    <mergeCell ref="G21:N22"/>
    <mergeCell ref="P21:X22"/>
    <mergeCell ref="AA21:AE22"/>
    <mergeCell ref="S15:V15"/>
    <mergeCell ref="G24:AE25"/>
    <mergeCell ref="D15:R16"/>
    <mergeCell ref="P12:Q13"/>
    <mergeCell ref="T12:AA13"/>
    <mergeCell ref="AD12:AE13"/>
    <mergeCell ref="R13:S13"/>
    <mergeCell ref="A20:AE20"/>
    <mergeCell ref="A11:AE11"/>
    <mergeCell ref="Y21:Z21"/>
    <mergeCell ref="Y22:Z22"/>
    <mergeCell ref="A4:AE4"/>
    <mergeCell ref="A5:AE5"/>
    <mergeCell ref="R12:S12"/>
    <mergeCell ref="T7:W7"/>
    <mergeCell ref="E9:AE10"/>
    <mergeCell ref="A14:AE14"/>
    <mergeCell ref="G18:AE19"/>
    <mergeCell ref="AB13:AC13"/>
    <mergeCell ref="A9:D9"/>
    <mergeCell ref="A8:AE8"/>
    <mergeCell ref="S16:V16"/>
    <mergeCell ref="W15:AE16"/>
  </mergeCells>
  <dataValidations count="2">
    <dataValidation type="list" allowBlank="1" showInputMessage="1" sqref="T59:AD59 T63:AD63" xr:uid="{B643AB62-6D70-43AD-8677-9ED71C2E0BB3}">
      <formula1>$AZ$65:$AZ$81</formula1>
    </dataValidation>
    <dataValidation type="list" allowBlank="1" showInputMessage="1" sqref="D59:K59" xr:uid="{3C40A5AF-5A09-4946-ABDD-32E8AE020E16}">
      <formula1>$AV$65:$AV$67</formula1>
    </dataValidation>
  </dataValidations>
  <printOptions horizontalCentered="1"/>
  <pageMargins left="0.35433070866141736" right="0.31496062992125984" top="0.19685039370078741" bottom="0.19685039370078741" header="0.15748031496062992" footer="0.15748031496062992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63" r:id="rId4" name="Check Box 31">
              <controlPr defaultSize="0" autoFill="0" autoLine="0" autoPict="0">
                <anchor moveWithCells="1">
                  <from>
                    <xdr:col>22</xdr:col>
                    <xdr:colOff>95250</xdr:colOff>
                    <xdr:row>32</xdr:row>
                    <xdr:rowOff>9525</xdr:rowOff>
                  </from>
                  <to>
                    <xdr:col>26</xdr:col>
                    <xdr:colOff>200025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4" r:id="rId5" name="Check Box 32">
              <controlPr defaultSize="0" autoFill="0" autoLine="0" autoPict="0">
                <anchor moveWithCells="1">
                  <from>
                    <xdr:col>28</xdr:col>
                    <xdr:colOff>95250</xdr:colOff>
                    <xdr:row>32</xdr:row>
                    <xdr:rowOff>0</xdr:rowOff>
                  </from>
                  <to>
                    <xdr:col>30</xdr:col>
                    <xdr:colOff>676275</xdr:colOff>
                    <xdr:row>33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AD44"/>
  <sheetViews>
    <sheetView showGridLines="0" zoomScale="80" zoomScaleNormal="80" workbookViewId="0">
      <pane ySplit="13" topLeftCell="A14" activePane="bottomLeft" state="frozen"/>
      <selection pane="bottomLeft" activeCell="J25" sqref="J25"/>
      <selection activeCell="R33" sqref="R33"/>
    </sheetView>
  </sheetViews>
  <sheetFormatPr defaultColWidth="9" defaultRowHeight="18.75"/>
  <cols>
    <col min="1" max="1" width="3.75" style="5" customWidth="1"/>
    <col min="2" max="2" width="2.875" style="5" customWidth="1"/>
    <col min="3" max="3" width="12.25" style="5" customWidth="1"/>
    <col min="4" max="4" width="22.75" style="5" customWidth="1"/>
    <col min="5" max="5" width="20.875" style="5" customWidth="1"/>
    <col min="6" max="12" width="15.375" style="5" customWidth="1"/>
    <col min="13" max="13" width="19" style="5" customWidth="1"/>
    <col min="14" max="14" width="18.875" style="5" customWidth="1"/>
    <col min="15" max="16384" width="9" style="5"/>
  </cols>
  <sheetData>
    <row r="1" spans="1:14">
      <c r="A1" s="82" t="s">
        <v>83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>
      <c r="A2" s="82" t="s">
        <v>85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>
      <c r="A3" s="82" t="s">
        <v>175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1:14">
      <c r="A4" s="37" t="str">
        <f>+'ใบยืมเงิน Borrow Money Form'!A6</f>
        <v>รหัสโครงการ</v>
      </c>
      <c r="B4" s="3"/>
      <c r="C4" s="3"/>
      <c r="D4" s="82">
        <f>+'ใบยืมเงิน Borrow Money Form'!E6</f>
        <v>0</v>
      </c>
      <c r="E4" s="82"/>
      <c r="F4" s="82"/>
      <c r="G4" s="3" t="str">
        <f>+'ใบยืมเงิน Borrow Money Form'!T6</f>
        <v>รหัสกิจกรรม</v>
      </c>
      <c r="H4" s="82">
        <f>+'ใบยืมเงิน Borrow Money Form'!X6</f>
        <v>0</v>
      </c>
      <c r="I4" s="82"/>
      <c r="J4" s="82"/>
      <c r="K4" s="3"/>
      <c r="M4" s="38" t="s">
        <v>176</v>
      </c>
      <c r="N4" s="201"/>
    </row>
    <row r="5" spans="1:14">
      <c r="A5" s="37" t="str">
        <f>+'ใบยืมเงิน Borrow Money Form'!A7</f>
        <v>Project Code</v>
      </c>
      <c r="B5" s="3"/>
      <c r="C5" s="3"/>
      <c r="D5" s="198"/>
      <c r="E5" s="198"/>
      <c r="F5" s="198"/>
      <c r="G5" s="3" t="str">
        <f>+'ใบยืมเงิน Borrow Money Form'!T7</f>
        <v>Activity code</v>
      </c>
      <c r="H5" s="198"/>
      <c r="I5" s="198"/>
      <c r="J5" s="198"/>
      <c r="K5" s="3"/>
      <c r="M5" s="38" t="s">
        <v>177</v>
      </c>
      <c r="N5" s="198"/>
    </row>
    <row r="6" spans="1:14">
      <c r="A6" s="5" t="s">
        <v>178</v>
      </c>
      <c r="B6" s="37"/>
      <c r="C6" s="37"/>
      <c r="D6" s="86">
        <f>+'ใบยืมเงิน Borrow Money Form'!E9</f>
        <v>0</v>
      </c>
      <c r="E6" s="86"/>
      <c r="F6" s="86"/>
      <c r="G6" s="86"/>
      <c r="H6" s="86"/>
      <c r="I6" s="86"/>
      <c r="J6" s="86"/>
      <c r="K6" s="37"/>
      <c r="M6" s="38" t="s">
        <v>93</v>
      </c>
    </row>
    <row r="7" spans="1:14">
      <c r="A7" s="5" t="s">
        <v>92</v>
      </c>
      <c r="B7" s="37"/>
      <c r="C7" s="37"/>
      <c r="D7" s="202"/>
      <c r="E7" s="202"/>
      <c r="F7" s="202"/>
      <c r="G7" s="202"/>
      <c r="H7" s="202"/>
      <c r="I7" s="202"/>
      <c r="J7" s="202"/>
      <c r="K7" s="37"/>
      <c r="M7" s="38" t="s">
        <v>96</v>
      </c>
      <c r="N7" s="39">
        <f ca="1">+TODAY()</f>
        <v>46292</v>
      </c>
    </row>
    <row r="8" spans="1:14">
      <c r="A8" s="86" t="s">
        <v>179</v>
      </c>
      <c r="B8" s="86"/>
      <c r="C8" s="86"/>
      <c r="D8" s="62">
        <f>+'ใบยืมเงิน Borrow Money Form'!$G$21</f>
        <v>0</v>
      </c>
      <c r="E8" s="40" t="s">
        <v>180</v>
      </c>
      <c r="F8" s="203">
        <f>+'ใบยืมเงิน Borrow Money Form'!$P$21</f>
        <v>0</v>
      </c>
      <c r="G8" s="203"/>
      <c r="H8" s="3" t="s">
        <v>181</v>
      </c>
      <c r="I8" s="198">
        <f>+'ใบยืมเงิน Borrow Money Form'!AA21</f>
        <v>0</v>
      </c>
      <c r="J8" s="198"/>
    </row>
    <row r="9" spans="1:14">
      <c r="A9" s="5" t="s">
        <v>182</v>
      </c>
      <c r="D9" s="202">
        <f>+'ใบยืมเงิน Borrow Money Form'!G18</f>
        <v>0</v>
      </c>
      <c r="E9" s="202"/>
      <c r="F9" s="202"/>
      <c r="G9" s="202"/>
      <c r="H9" s="202"/>
      <c r="I9" s="202"/>
      <c r="J9" s="202"/>
      <c r="K9" s="202"/>
      <c r="L9" s="202"/>
      <c r="M9" s="202"/>
      <c r="N9" s="202"/>
    </row>
    <row r="10" spans="1:14">
      <c r="A10" s="86" t="s">
        <v>183</v>
      </c>
      <c r="B10" s="86"/>
      <c r="C10" s="86"/>
      <c r="D10" s="41">
        <f>+'ใบยืมเงิน Borrow Money Form'!G24</f>
        <v>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>
      <c r="A11" s="37"/>
      <c r="B11" s="37"/>
      <c r="C11" s="37"/>
    </row>
    <row r="12" spans="1:14">
      <c r="A12" s="42" t="s">
        <v>184</v>
      </c>
      <c r="B12" s="43"/>
      <c r="C12" s="207" t="s">
        <v>185</v>
      </c>
      <c r="D12" s="208"/>
      <c r="E12" s="209"/>
      <c r="F12" s="44" t="s">
        <v>58</v>
      </c>
      <c r="G12" s="44" t="s">
        <v>131</v>
      </c>
      <c r="H12" s="44" t="s">
        <v>133</v>
      </c>
      <c r="I12" s="44" t="s">
        <v>135</v>
      </c>
      <c r="J12" s="44" t="s">
        <v>136</v>
      </c>
      <c r="K12" s="44" t="s">
        <v>186</v>
      </c>
      <c r="L12" s="44" t="s">
        <v>187</v>
      </c>
      <c r="M12" s="45" t="s">
        <v>188</v>
      </c>
      <c r="N12" s="44" t="s">
        <v>189</v>
      </c>
    </row>
    <row r="13" spans="1:14" s="3" customFormat="1">
      <c r="A13" s="205" t="s">
        <v>190</v>
      </c>
      <c r="B13" s="206"/>
      <c r="C13" s="205" t="s">
        <v>191</v>
      </c>
      <c r="D13" s="210"/>
      <c r="E13" s="206"/>
      <c r="F13" s="46" t="s">
        <v>192</v>
      </c>
      <c r="G13" s="46" t="s">
        <v>193</v>
      </c>
      <c r="H13" s="47" t="s">
        <v>134</v>
      </c>
      <c r="I13" s="47" t="s">
        <v>77</v>
      </c>
      <c r="J13" s="47" t="s">
        <v>137</v>
      </c>
      <c r="K13" s="47" t="s">
        <v>194</v>
      </c>
      <c r="L13" s="47" t="s">
        <v>195</v>
      </c>
      <c r="M13" s="48" t="s">
        <v>196</v>
      </c>
      <c r="N13" s="47" t="s">
        <v>197</v>
      </c>
    </row>
    <row r="14" spans="1:14">
      <c r="A14" s="200"/>
      <c r="B14" s="200"/>
      <c r="C14" s="6"/>
      <c r="D14" s="7"/>
      <c r="E14" s="8"/>
      <c r="F14" s="9"/>
      <c r="G14" s="9"/>
      <c r="H14" s="9"/>
      <c r="I14" s="9"/>
      <c r="J14" s="9"/>
      <c r="K14" s="9"/>
      <c r="L14" s="9"/>
      <c r="M14" s="10"/>
      <c r="N14" s="31">
        <f>SUM(F14:M14)</f>
        <v>0</v>
      </c>
    </row>
    <row r="15" spans="1:14">
      <c r="A15" s="200"/>
      <c r="B15" s="200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5"/>
      <c r="N15" s="32">
        <f>SUM(F15:M15)</f>
        <v>0</v>
      </c>
    </row>
    <row r="16" spans="1:14">
      <c r="A16" s="200"/>
      <c r="B16" s="200"/>
      <c r="C16" s="16"/>
      <c r="D16" s="17"/>
      <c r="E16" s="18"/>
      <c r="F16" s="14"/>
      <c r="G16" s="14"/>
      <c r="H16" s="14"/>
      <c r="I16" s="14"/>
      <c r="J16" s="14"/>
      <c r="K16" s="14"/>
      <c r="L16" s="14"/>
      <c r="M16" s="15"/>
      <c r="N16" s="32">
        <f t="shared" ref="N16:N27" si="0">SUM(F16:M16)</f>
        <v>0</v>
      </c>
    </row>
    <row r="17" spans="1:14">
      <c r="A17" s="200"/>
      <c r="B17" s="200"/>
      <c r="C17" s="16"/>
      <c r="D17" s="17"/>
      <c r="E17" s="18"/>
      <c r="F17" s="14"/>
      <c r="G17" s="14"/>
      <c r="H17" s="14"/>
      <c r="I17" s="14"/>
      <c r="J17" s="14"/>
      <c r="K17" s="14"/>
      <c r="L17" s="14"/>
      <c r="M17" s="15"/>
      <c r="N17" s="32">
        <f t="shared" si="0"/>
        <v>0</v>
      </c>
    </row>
    <row r="18" spans="1:14">
      <c r="A18" s="200"/>
      <c r="B18" s="200"/>
      <c r="C18" s="16"/>
      <c r="D18" s="17"/>
      <c r="E18" s="18"/>
      <c r="F18" s="14"/>
      <c r="G18" s="14"/>
      <c r="H18" s="14"/>
      <c r="I18" s="14"/>
      <c r="J18" s="14"/>
      <c r="K18" s="14"/>
      <c r="L18" s="14"/>
      <c r="M18" s="15"/>
      <c r="N18" s="32">
        <f t="shared" si="0"/>
        <v>0</v>
      </c>
    </row>
    <row r="19" spans="1:14">
      <c r="A19" s="211"/>
      <c r="B19" s="212"/>
      <c r="C19" s="16"/>
      <c r="D19" s="17"/>
      <c r="E19" s="18"/>
      <c r="F19" s="14"/>
      <c r="G19" s="14"/>
      <c r="H19" s="14"/>
      <c r="I19" s="14"/>
      <c r="J19" s="14"/>
      <c r="K19" s="14"/>
      <c r="L19" s="14"/>
      <c r="M19" s="15"/>
      <c r="N19" s="32">
        <f t="shared" si="0"/>
        <v>0</v>
      </c>
    </row>
    <row r="20" spans="1:14">
      <c r="A20" s="200"/>
      <c r="B20" s="200"/>
      <c r="C20" s="19"/>
      <c r="D20" s="12"/>
      <c r="E20" s="13"/>
      <c r="F20" s="20"/>
      <c r="G20" s="20"/>
      <c r="H20" s="20"/>
      <c r="I20" s="20"/>
      <c r="J20" s="20"/>
      <c r="K20" s="20"/>
      <c r="L20" s="20"/>
      <c r="M20" s="21"/>
      <c r="N20" s="32">
        <f t="shared" si="0"/>
        <v>0</v>
      </c>
    </row>
    <row r="21" spans="1:14">
      <c r="A21" s="200"/>
      <c r="B21" s="200"/>
      <c r="C21" s="19"/>
      <c r="D21" s="12"/>
      <c r="E21" s="13"/>
      <c r="F21" s="20"/>
      <c r="G21" s="20"/>
      <c r="H21" s="20"/>
      <c r="I21" s="20"/>
      <c r="J21" s="20"/>
      <c r="K21" s="20"/>
      <c r="L21" s="20"/>
      <c r="M21" s="21"/>
      <c r="N21" s="32">
        <f t="shared" si="0"/>
        <v>0</v>
      </c>
    </row>
    <row r="22" spans="1:14">
      <c r="A22" s="200"/>
      <c r="B22" s="200"/>
      <c r="C22" s="19"/>
      <c r="D22" s="12"/>
      <c r="E22" s="13"/>
      <c r="F22" s="20"/>
      <c r="G22" s="20"/>
      <c r="H22" s="20"/>
      <c r="I22" s="20"/>
      <c r="J22" s="20"/>
      <c r="K22" s="20"/>
      <c r="L22" s="20"/>
      <c r="M22" s="21"/>
      <c r="N22" s="32">
        <f t="shared" si="0"/>
        <v>0</v>
      </c>
    </row>
    <row r="23" spans="1:14">
      <c r="A23" s="200"/>
      <c r="B23" s="200"/>
      <c r="C23" s="19"/>
      <c r="D23" s="12"/>
      <c r="E23" s="13"/>
      <c r="F23" s="20"/>
      <c r="G23" s="20"/>
      <c r="H23" s="20"/>
      <c r="I23" s="20"/>
      <c r="J23" s="20"/>
      <c r="K23" s="20"/>
      <c r="L23" s="20"/>
      <c r="M23" s="21"/>
      <c r="N23" s="32">
        <f t="shared" si="0"/>
        <v>0</v>
      </c>
    </row>
    <row r="24" spans="1:14">
      <c r="A24" s="200"/>
      <c r="B24" s="200"/>
      <c r="C24" s="19"/>
      <c r="D24" s="12"/>
      <c r="E24" s="13"/>
      <c r="F24" s="20"/>
      <c r="G24" s="20"/>
      <c r="H24" s="20"/>
      <c r="I24" s="20"/>
      <c r="J24" s="20"/>
      <c r="K24" s="20"/>
      <c r="L24" s="20"/>
      <c r="M24" s="21"/>
      <c r="N24" s="32">
        <f t="shared" si="0"/>
        <v>0</v>
      </c>
    </row>
    <row r="25" spans="1:14">
      <c r="A25" s="200"/>
      <c r="B25" s="200"/>
      <c r="C25" s="19"/>
      <c r="D25" s="12"/>
      <c r="E25" s="13"/>
      <c r="F25" s="20"/>
      <c r="G25" s="20"/>
      <c r="H25" s="20"/>
      <c r="I25" s="20"/>
      <c r="J25" s="20"/>
      <c r="K25" s="20"/>
      <c r="L25" s="20"/>
      <c r="M25" s="21"/>
      <c r="N25" s="32">
        <f t="shared" si="0"/>
        <v>0</v>
      </c>
    </row>
    <row r="26" spans="1:14">
      <c r="A26" s="200"/>
      <c r="B26" s="200"/>
      <c r="C26" s="19"/>
      <c r="D26" s="12"/>
      <c r="E26" s="13"/>
      <c r="F26" s="20"/>
      <c r="G26" s="20"/>
      <c r="H26" s="20"/>
      <c r="I26" s="20"/>
      <c r="J26" s="20"/>
      <c r="K26" s="20"/>
      <c r="L26" s="20"/>
      <c r="M26" s="21"/>
      <c r="N26" s="32">
        <f t="shared" si="0"/>
        <v>0</v>
      </c>
    </row>
    <row r="27" spans="1:14">
      <c r="A27" s="213"/>
      <c r="B27" s="213"/>
      <c r="C27" s="19"/>
      <c r="D27" s="12"/>
      <c r="E27" s="13"/>
      <c r="F27" s="20"/>
      <c r="G27" s="20"/>
      <c r="H27" s="20"/>
      <c r="I27" s="20"/>
      <c r="J27" s="20"/>
      <c r="K27" s="20"/>
      <c r="L27" s="20"/>
      <c r="M27" s="21"/>
      <c r="N27" s="32">
        <f t="shared" si="0"/>
        <v>0</v>
      </c>
    </row>
    <row r="28" spans="1:14">
      <c r="A28" s="199"/>
      <c r="B28" s="199"/>
      <c r="C28" s="22"/>
      <c r="D28" s="23"/>
      <c r="E28" s="24"/>
      <c r="F28" s="25"/>
      <c r="G28" s="25"/>
      <c r="H28" s="25"/>
      <c r="I28" s="25"/>
      <c r="J28" s="25"/>
      <c r="K28" s="25"/>
      <c r="L28" s="25"/>
      <c r="M28" s="26"/>
      <c r="N28" s="31">
        <f t="shared" ref="N28" si="1">SUM(F28:M28)</f>
        <v>0</v>
      </c>
    </row>
    <row r="29" spans="1:14">
      <c r="A29" s="128" t="s">
        <v>198</v>
      </c>
      <c r="B29" s="129"/>
      <c r="C29" s="129"/>
      <c r="D29" s="129"/>
      <c r="E29" s="129"/>
      <c r="F29" s="188">
        <f>SUM(F14:F28)</f>
        <v>0</v>
      </c>
      <c r="G29" s="188">
        <f t="shared" ref="G29:L29" si="2">SUM(G14:G28)</f>
        <v>0</v>
      </c>
      <c r="H29" s="188">
        <f t="shared" si="2"/>
        <v>0</v>
      </c>
      <c r="I29" s="188">
        <f t="shared" si="2"/>
        <v>0</v>
      </c>
      <c r="J29" s="188">
        <f t="shared" si="2"/>
        <v>0</v>
      </c>
      <c r="K29" s="188">
        <f t="shared" si="2"/>
        <v>0</v>
      </c>
      <c r="L29" s="188">
        <f t="shared" si="2"/>
        <v>0</v>
      </c>
      <c r="M29" s="194">
        <f>SUM(M14:M28)</f>
        <v>0</v>
      </c>
      <c r="N29" s="196">
        <f>SUM(N14:N28)</f>
        <v>0</v>
      </c>
    </row>
    <row r="30" spans="1:14" ht="19.5" thickBot="1">
      <c r="A30" s="123" t="s">
        <v>199</v>
      </c>
      <c r="B30" s="124"/>
      <c r="C30" s="124"/>
      <c r="D30" s="124"/>
      <c r="E30" s="124"/>
      <c r="F30" s="189"/>
      <c r="G30" s="189"/>
      <c r="H30" s="189"/>
      <c r="I30" s="189"/>
      <c r="J30" s="189"/>
      <c r="K30" s="189"/>
      <c r="L30" s="189"/>
      <c r="M30" s="195"/>
      <c r="N30" s="197"/>
    </row>
    <row r="31" spans="1:14">
      <c r="A31" s="49" t="s">
        <v>200</v>
      </c>
      <c r="B31" s="27"/>
      <c r="C31" s="27"/>
      <c r="D31" s="27"/>
      <c r="E31" s="27"/>
      <c r="F31" s="27"/>
      <c r="G31" s="27"/>
      <c r="H31" s="27"/>
      <c r="I31" s="28"/>
      <c r="J31" s="27"/>
      <c r="K31" s="27"/>
      <c r="L31" s="29"/>
      <c r="M31" s="50" t="s">
        <v>201</v>
      </c>
      <c r="N31" s="190">
        <f>+'ใบยืมเงิน Borrow Money Form'!AB55</f>
        <v>0</v>
      </c>
    </row>
    <row r="32" spans="1:14">
      <c r="A32" s="49" t="s">
        <v>202</v>
      </c>
      <c r="B32" s="27"/>
      <c r="C32" s="27"/>
      <c r="D32" s="27"/>
      <c r="E32" s="27"/>
      <c r="F32" s="27"/>
      <c r="G32" s="27"/>
      <c r="H32" s="27"/>
      <c r="I32" s="28"/>
      <c r="J32" s="27"/>
      <c r="K32" s="27"/>
      <c r="L32" s="29"/>
      <c r="M32" s="50" t="s">
        <v>203</v>
      </c>
      <c r="N32" s="191"/>
    </row>
    <row r="33" spans="1:30">
      <c r="A33" s="19"/>
      <c r="B33" s="12"/>
      <c r="C33" s="12"/>
      <c r="D33" s="12"/>
      <c r="E33" s="12"/>
      <c r="F33" s="12"/>
      <c r="G33" s="12"/>
      <c r="H33" s="12"/>
      <c r="I33" s="13"/>
      <c r="J33" s="27"/>
      <c r="K33" s="27"/>
      <c r="L33" s="29"/>
      <c r="M33" s="50" t="s">
        <v>204</v>
      </c>
      <c r="N33" s="192">
        <f>+N31-N29</f>
        <v>0</v>
      </c>
    </row>
    <row r="34" spans="1:30" ht="19.5" thickBot="1">
      <c r="A34" s="19"/>
      <c r="B34" s="12"/>
      <c r="C34" s="12"/>
      <c r="D34" s="12"/>
      <c r="E34" s="12"/>
      <c r="F34" s="12"/>
      <c r="G34" s="12"/>
      <c r="H34" s="12"/>
      <c r="I34" s="13"/>
      <c r="J34" s="27"/>
      <c r="K34" s="27"/>
      <c r="L34" s="29"/>
      <c r="M34" s="50" t="s">
        <v>205</v>
      </c>
      <c r="N34" s="193"/>
    </row>
    <row r="35" spans="1:30" ht="19.5" thickTop="1">
      <c r="A35" s="19"/>
      <c r="B35" s="12"/>
      <c r="C35" s="12"/>
      <c r="D35" s="12"/>
      <c r="E35" s="12"/>
      <c r="F35" s="12"/>
      <c r="G35" s="12"/>
      <c r="H35" s="12"/>
      <c r="I35" s="13"/>
      <c r="J35" s="27"/>
      <c r="K35" s="27"/>
      <c r="L35" s="29"/>
      <c r="M35" s="50"/>
      <c r="N35" s="33"/>
    </row>
    <row r="36" spans="1:30">
      <c r="A36" s="19"/>
      <c r="B36" s="12"/>
      <c r="C36" s="12"/>
      <c r="D36" s="12"/>
      <c r="E36" s="12"/>
      <c r="F36" s="12"/>
      <c r="G36" s="12"/>
      <c r="H36" s="12"/>
      <c r="I36" s="13"/>
      <c r="J36" s="38" t="s">
        <v>144</v>
      </c>
      <c r="K36" s="82"/>
      <c r="L36" s="82"/>
      <c r="M36" s="82"/>
      <c r="N36" s="37" t="s">
        <v>152</v>
      </c>
    </row>
    <row r="37" spans="1:30">
      <c r="A37" s="19"/>
      <c r="B37" s="12"/>
      <c r="C37" s="12"/>
      <c r="D37" s="12"/>
      <c r="E37" s="12"/>
      <c r="F37" s="12"/>
      <c r="G37" s="12"/>
      <c r="H37" s="12"/>
      <c r="I37" s="13"/>
      <c r="J37" s="38" t="s">
        <v>147</v>
      </c>
      <c r="K37" s="198"/>
      <c r="L37" s="198"/>
      <c r="M37" s="198"/>
      <c r="N37" s="37" t="s">
        <v>154</v>
      </c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</row>
    <row r="38" spans="1:30">
      <c r="A38" s="19"/>
      <c r="B38" s="12"/>
      <c r="C38" s="12"/>
      <c r="D38" s="12"/>
      <c r="E38" s="12"/>
      <c r="F38" s="12"/>
      <c r="G38" s="12"/>
      <c r="H38" s="12"/>
      <c r="I38" s="13"/>
      <c r="K38" s="138" t="str">
        <f>+'ใบยืมเงิน Borrow Money Form'!D63</f>
        <v>()</v>
      </c>
      <c r="L38" s="138"/>
      <c r="M38" s="138"/>
      <c r="O38" s="30"/>
    </row>
    <row r="39" spans="1:30">
      <c r="A39" s="19"/>
      <c r="B39" s="12"/>
      <c r="C39" s="12"/>
      <c r="D39" s="12"/>
      <c r="E39" s="12"/>
      <c r="F39" s="12"/>
      <c r="G39" s="12"/>
      <c r="H39" s="12"/>
      <c r="I39" s="13"/>
    </row>
    <row r="40" spans="1:30">
      <c r="A40" s="19"/>
      <c r="B40" s="12"/>
      <c r="C40" s="12"/>
      <c r="D40" s="12"/>
      <c r="E40" s="12"/>
      <c r="F40" s="12"/>
      <c r="G40" s="12"/>
      <c r="H40" s="12"/>
      <c r="I40" s="13"/>
      <c r="K40" s="51"/>
    </row>
    <row r="41" spans="1:30">
      <c r="A41" s="19"/>
      <c r="B41" s="12"/>
      <c r="C41" s="12"/>
      <c r="D41" s="12"/>
      <c r="E41" s="12"/>
      <c r="F41" s="12"/>
      <c r="G41" s="12"/>
      <c r="H41" s="12"/>
      <c r="I41" s="13"/>
    </row>
    <row r="42" spans="1:30">
      <c r="A42" s="19"/>
      <c r="B42" s="12"/>
      <c r="C42" s="12"/>
      <c r="D42" s="12"/>
      <c r="E42" s="12"/>
      <c r="F42" s="12"/>
      <c r="G42" s="12"/>
      <c r="H42" s="12"/>
      <c r="I42" s="13"/>
      <c r="J42" s="38" t="s">
        <v>144</v>
      </c>
      <c r="K42" s="82"/>
      <c r="L42" s="82"/>
      <c r="M42" s="82"/>
      <c r="N42" s="5" t="s">
        <v>153</v>
      </c>
    </row>
    <row r="43" spans="1:30">
      <c r="A43" s="19"/>
      <c r="B43" s="12"/>
      <c r="C43" s="12"/>
      <c r="D43" s="12"/>
      <c r="E43" s="12"/>
      <c r="F43" s="12"/>
      <c r="G43" s="12"/>
      <c r="H43" s="12"/>
      <c r="I43" s="13"/>
      <c r="J43" s="38" t="s">
        <v>147</v>
      </c>
      <c r="K43" s="198"/>
      <c r="L43" s="198"/>
      <c r="M43" s="198"/>
      <c r="N43" s="5" t="s">
        <v>156</v>
      </c>
    </row>
    <row r="44" spans="1:30">
      <c r="A44" s="34"/>
      <c r="B44" s="35"/>
      <c r="C44" s="35"/>
      <c r="D44" s="35"/>
      <c r="E44" s="35"/>
      <c r="F44" s="35"/>
      <c r="G44" s="35"/>
      <c r="H44" s="35"/>
      <c r="I44" s="36"/>
      <c r="K44" s="204" t="str">
        <f>+'ใบยืมเงิน Borrow Money Form'!T59</f>
        <v>สุภาพร เอี่ยมอัครเสนา</v>
      </c>
      <c r="L44" s="204"/>
      <c r="M44" s="204"/>
      <c r="N44" s="30"/>
    </row>
  </sheetData>
  <sheetProtection algorithmName="SHA-512" hashValue="AGoke8AOPWxmAjHL6/lVAnhMguhRCFLWy68G1maFwrBHfuTC4Lzq56AImMpnIbTIwUgOidENhQiEsrKPYcFS8Q==" saltValue="OxryPFP9MCDXCUaVQlo1TQ==" spinCount="100000" sheet="1" formatCells="0" formatColumns="0" formatRows="0" sort="0" autoFilter="0"/>
  <mergeCells count="48">
    <mergeCell ref="K42:M43"/>
    <mergeCell ref="K44:M44"/>
    <mergeCell ref="K38:M38"/>
    <mergeCell ref="D9:N9"/>
    <mergeCell ref="A10:C10"/>
    <mergeCell ref="A13:B13"/>
    <mergeCell ref="C12:E12"/>
    <mergeCell ref="C13:E13"/>
    <mergeCell ref="A17:B17"/>
    <mergeCell ref="A14:B14"/>
    <mergeCell ref="A15:B15"/>
    <mergeCell ref="A16:B16"/>
    <mergeCell ref="A19:B19"/>
    <mergeCell ref="A20:B20"/>
    <mergeCell ref="A21:B21"/>
    <mergeCell ref="A27:B27"/>
    <mergeCell ref="A1:N1"/>
    <mergeCell ref="A3:N3"/>
    <mergeCell ref="I8:J8"/>
    <mergeCell ref="A8:C8"/>
    <mergeCell ref="D4:F5"/>
    <mergeCell ref="H4:J5"/>
    <mergeCell ref="N4:N5"/>
    <mergeCell ref="D6:J7"/>
    <mergeCell ref="A2:N2"/>
    <mergeCell ref="F8:G8"/>
    <mergeCell ref="A23:B23"/>
    <mergeCell ref="A24:B24"/>
    <mergeCell ref="A25:B25"/>
    <mergeCell ref="A26:B26"/>
    <mergeCell ref="A18:B18"/>
    <mergeCell ref="A22:B22"/>
    <mergeCell ref="A28:B28"/>
    <mergeCell ref="A29:E29"/>
    <mergeCell ref="A30:E30"/>
    <mergeCell ref="F29:F30"/>
    <mergeCell ref="G29:G30"/>
    <mergeCell ref="I29:I30"/>
    <mergeCell ref="H29:H30"/>
    <mergeCell ref="N31:N32"/>
    <mergeCell ref="N33:N34"/>
    <mergeCell ref="S37:AD37"/>
    <mergeCell ref="J29:J30"/>
    <mergeCell ref="K29:K30"/>
    <mergeCell ref="L29:L30"/>
    <mergeCell ref="M29:M30"/>
    <mergeCell ref="N29:N30"/>
    <mergeCell ref="K36:M37"/>
  </mergeCells>
  <printOptions horizontalCentered="1"/>
  <pageMargins left="0.15748031496062992" right="0.15748031496062992" top="0.15748031496062992" bottom="0.15748031496062992" header="0.15748031496062992" footer="0.15748031496062992"/>
  <pageSetup paperSize="9" scale="6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342830970DB904584C6EAD2FD327112" ma:contentTypeVersion="23" ma:contentTypeDescription="สร้างเอกสารใหม่" ma:contentTypeScope="" ma:versionID="5062887cdee57cc6e30cb60edec5fb38">
  <xsd:schema xmlns:xsd="http://www.w3.org/2001/XMLSchema" xmlns:xs="http://www.w3.org/2001/XMLSchema" xmlns:p="http://schemas.microsoft.com/office/2006/metadata/properties" xmlns:ns2="e90fe10f-6d2e-42ee-aaa1-34d962de8e3e" xmlns:ns3="5e050a49-9301-43fa-9b23-5612c9352b99" targetNamespace="http://schemas.microsoft.com/office/2006/metadata/properties" ma:root="true" ma:fieldsID="f77632a49d1449e70faa2263cde3d8e7" ns2:_="" ns3:_="">
    <xsd:import namespace="e90fe10f-6d2e-42ee-aaa1-34d962de8e3e"/>
    <xsd:import namespace="5e050a49-9301-43fa-9b23-5612c9352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Dateandtime" minOccurs="0"/>
                <xsd:element ref="ns2:MediaServiceSearchProperties" minOccurs="0"/>
                <xsd:element ref="ns2:No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fe10f-6d2e-42ee-aaa1-34d962de8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แท็กรูป" ma:readOnly="false" ma:fieldId="{5cf76f15-5ced-4ddc-b409-7134ff3c332f}" ma:taxonomyMulti="true" ma:sspId="b455ded9-018c-4ba2-b002-67b0ff4f7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s" ma:index="26" nillable="true" ma:displayName="Notes" ma:format="Dropdown" ma:internalName="Notes">
      <xsd:simpleType>
        <xsd:restriction base="dms:Text">
          <xsd:maxLength value="80"/>
        </xsd:restriction>
      </xsd:simpleType>
    </xsd:element>
    <xsd:element name="Dateandtime" ma:index="27" nillable="true" ma:displayName="Date and time" ma:format="DateTime" ma:internalName="Dateandtim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29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50a49-9301-43fa-9b23-5612c9352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db00834-6d88-43f8-be60-c57b4b79bc1e}" ma:internalName="TaxCatchAll" ma:showField="CatchAllData" ma:web="5e050a49-9301-43fa-9b23-5612c9352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0fe10f-6d2e-42ee-aaa1-34d962de8e3e">
      <Terms xmlns="http://schemas.microsoft.com/office/infopath/2007/PartnerControls"/>
    </lcf76f155ced4ddcb4097134ff3c332f>
    <TaxCatchAll xmlns="5e050a49-9301-43fa-9b23-5612c9352b99" xsi:nil="true"/>
    <_Flow_SignoffStatus xmlns="e90fe10f-6d2e-42ee-aaa1-34d962de8e3e" xsi:nil="true"/>
    <Notes xmlns="e90fe10f-6d2e-42ee-aaa1-34d962de8e3e" xsi:nil="true"/>
    <Dateandtime xmlns="e90fe10f-6d2e-42ee-aaa1-34d962de8e3e" xsi:nil="true"/>
    <Note xmlns="e90fe10f-6d2e-42ee-aaa1-34d962de8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B7B1B-7D0C-4C98-BFCD-FD4392CB4454}"/>
</file>

<file path=customXml/itemProps2.xml><?xml version="1.0" encoding="utf-8"?>
<ds:datastoreItem xmlns:ds="http://schemas.openxmlformats.org/officeDocument/2006/customXml" ds:itemID="{45342B6B-B532-4E21-884C-36C2596BF8BB}"/>
</file>

<file path=customXml/itemProps3.xml><?xml version="1.0" encoding="utf-8"?>
<ds:datastoreItem xmlns:ds="http://schemas.openxmlformats.org/officeDocument/2006/customXml" ds:itemID="{7353197A-023D-4B33-813C-E2802AF88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GoodTime</dc:creator>
  <cp:keywords/>
  <dc:description/>
  <cp:lastModifiedBy>Pattranit Pohnatchariyagul</cp:lastModifiedBy>
  <cp:revision/>
  <dcterms:created xsi:type="dcterms:W3CDTF">2010-05-30T07:08:52Z</dcterms:created>
  <dcterms:modified xsi:type="dcterms:W3CDTF">2026-09-27T12:10:07Z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0x0101002342830970DB904584C6EAD2FD327112</vt:lpwstr>
  </property>
  <property fmtid="{D5CDD505-2E9C-101B-9397-08002B2CF9AE}" pid="3" name="MediaServiceImageTags">
    <vt:lpwstr/>
  </property>
</Properties>
</file>